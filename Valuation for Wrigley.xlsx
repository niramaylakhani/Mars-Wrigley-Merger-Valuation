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rtheastern-my.sharepoint.com/personal/lakhani_nir_northeastern_edu/Documents/2) Northeastern University Course Work/5) Fall 2025/Investment Banking/IB Project - Mars Inc/"/>
    </mc:Choice>
  </mc:AlternateContent>
  <xr:revisionPtr revIDLastSave="594" documentId="109_{71D07257-C3C9-5E45-B612-6CE792A3D057}" xr6:coauthVersionLast="47" xr6:coauthVersionMax="47" xr10:uidLastSave="{BAF71B9E-2447-0F44-8991-8CBD50A0DCBC}"/>
  <bookViews>
    <workbookView xWindow="0" yWindow="700" windowWidth="34200" windowHeight="19520" xr2:uid="{DB4C439E-B5BD-9A43-8AFD-7CAD26DC9771}"/>
  </bookViews>
  <sheets>
    <sheet name="Exhibit 9" sheetId="1" r:id="rId1"/>
    <sheet name="Exhibit 10" sheetId="2" r:id="rId2"/>
    <sheet name="Exhibit 11 and 12" sheetId="3" r:id="rId3"/>
    <sheet name="Valuation" sheetId="4" r:id="rId4"/>
    <sheet name="Comps. Multiple Analysis" sheetId="5" r:id="rId5"/>
    <sheet name="Synergy Forecast" sheetId="7" r:id="rId6"/>
    <sheet name="Synergy Valuation" sheetId="8" r:id="rId7"/>
  </sheets>
  <definedNames>
    <definedName name="Cost_of_Debt">Valuation!$C$7</definedName>
    <definedName name="Cost_of_Equity">Valuation!$C$5</definedName>
    <definedName name="Market_Risk_Premium">Valuation!$C$10</definedName>
    <definedName name="Risk_Free_Rate">Valuation!$C$9</definedName>
    <definedName name="Terminal_Growth_Rate">Valuation!$C$12</definedName>
    <definedName name="WACC">Valuation!$C$13</definedName>
    <definedName name="Weight_of_Debt">Valuation!$C$8</definedName>
    <definedName name="Weight_of_Equity">Valuation!$C$6</definedName>
    <definedName name="βeta">Valuation!$C$4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5" l="1"/>
  <c r="I17" i="5"/>
  <c r="F15" i="8"/>
  <c r="F13" i="8"/>
  <c r="F12" i="8"/>
  <c r="G6" i="8"/>
  <c r="H6" i="8"/>
  <c r="I6" i="8"/>
  <c r="J6" i="8"/>
  <c r="K6" i="8" s="1"/>
  <c r="F6" i="8"/>
  <c r="G5" i="8"/>
  <c r="G7" i="8" s="1"/>
  <c r="H5" i="8"/>
  <c r="H7" i="8" s="1"/>
  <c r="I5" i="8"/>
  <c r="I7" i="8" s="1"/>
  <c r="J5" i="8"/>
  <c r="F5" i="8"/>
  <c r="F7" i="8" s="1"/>
  <c r="E28" i="7"/>
  <c r="E27" i="7"/>
  <c r="I21" i="7"/>
  <c r="H21" i="7"/>
  <c r="G21" i="7"/>
  <c r="F21" i="7"/>
  <c r="E21" i="7"/>
  <c r="D21" i="7"/>
  <c r="I13" i="7"/>
  <c r="H13" i="7"/>
  <c r="G13" i="7"/>
  <c r="F13" i="7"/>
  <c r="E13" i="7"/>
  <c r="I11" i="7"/>
  <c r="I15" i="7" s="1"/>
  <c r="H11" i="7"/>
  <c r="H15" i="7" s="1"/>
  <c r="G11" i="7"/>
  <c r="G15" i="7" s="1"/>
  <c r="F11" i="7"/>
  <c r="F15" i="7" s="1"/>
  <c r="E11" i="7"/>
  <c r="E15" i="7" s="1"/>
  <c r="I17" i="4"/>
  <c r="I16" i="5"/>
  <c r="G10" i="5"/>
  <c r="I10" i="5" s="1"/>
  <c r="J10" i="5" s="1"/>
  <c r="G9" i="5"/>
  <c r="I9" i="5" s="1"/>
  <c r="J9" i="5" s="1"/>
  <c r="G8" i="5"/>
  <c r="I8" i="5" s="1"/>
  <c r="J8" i="5" s="1"/>
  <c r="G7" i="5"/>
  <c r="I7" i="5" s="1"/>
  <c r="J7" i="5" s="1"/>
  <c r="G6" i="5"/>
  <c r="I6" i="5" s="1"/>
  <c r="J6" i="5" s="1"/>
  <c r="G5" i="5"/>
  <c r="I5" i="5" s="1"/>
  <c r="J5" i="5" s="1"/>
  <c r="E12" i="5"/>
  <c r="F17" i="4"/>
  <c r="C19" i="4"/>
  <c r="F14" i="4" s="1"/>
  <c r="C17" i="4"/>
  <c r="C18" i="4" s="1"/>
  <c r="F15" i="4" s="1"/>
  <c r="F6" i="4"/>
  <c r="C6" i="4"/>
  <c r="J6" i="4"/>
  <c r="G6" i="4"/>
  <c r="H6" i="4"/>
  <c r="I6" i="4"/>
  <c r="C11" i="4"/>
  <c r="C12" i="4"/>
  <c r="C4" i="4"/>
  <c r="C10" i="4"/>
  <c r="C7" i="4"/>
  <c r="C9" i="4"/>
  <c r="J7" i="8" l="1"/>
  <c r="K5" i="8"/>
  <c r="K7" i="8" s="1"/>
  <c r="I22" i="7"/>
  <c r="I23" i="7" s="1"/>
  <c r="I29" i="7" s="1"/>
  <c r="I34" i="7"/>
  <c r="I32" i="7"/>
  <c r="H32" i="7"/>
  <c r="H34" i="7"/>
  <c r="H22" i="7"/>
  <c r="H23" i="7" s="1"/>
  <c r="H29" i="7" s="1"/>
  <c r="G32" i="7"/>
  <c r="G34" i="7"/>
  <c r="G22" i="7"/>
  <c r="G23" i="7" s="1"/>
  <c r="G29" i="7" s="1"/>
  <c r="F22" i="7"/>
  <c r="F23" i="7" s="1"/>
  <c r="F29" i="7" s="1"/>
  <c r="F32" i="7"/>
  <c r="F34" i="7"/>
  <c r="E32" i="7"/>
  <c r="E34" i="7"/>
  <c r="E22" i="7"/>
  <c r="E23" i="7" s="1"/>
  <c r="E29" i="7" s="1"/>
  <c r="I18" i="4"/>
  <c r="J12" i="5"/>
  <c r="E16" i="5" s="1"/>
  <c r="C8" i="4"/>
  <c r="C5" i="4"/>
  <c r="C13" i="4" s="1"/>
  <c r="F11" i="8" l="1"/>
  <c r="F14" i="8" s="1"/>
  <c r="F16" i="8" s="1"/>
  <c r="H23" i="8" s="1"/>
  <c r="F7" i="4"/>
  <c r="F8" i="4" s="1"/>
  <c r="K6" i="4" l="1"/>
  <c r="K7" i="4"/>
  <c r="I7" i="4"/>
  <c r="I8" i="4" s="1"/>
  <c r="H7" i="4"/>
  <c r="H8" i="4" s="1"/>
  <c r="G7" i="4"/>
  <c r="G8" i="4" s="1"/>
  <c r="J7" i="4"/>
  <c r="J8" i="4" s="1"/>
  <c r="K8" i="4" l="1"/>
  <c r="F13" i="4" s="1"/>
  <c r="F16" i="4" l="1"/>
  <c r="F18" i="4" s="1"/>
  <c r="I19" i="4"/>
  <c r="I20" i="4" l="1"/>
  <c r="L1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Jake Higgins</author>
  </authors>
  <commentList>
    <comment ref="B18" authorId="0" shapeId="0" xr:uid="{99F0B34B-CF3B-47A0-9C4C-302AB8FF5F3C}">
      <text>
        <r>
          <rPr>
            <sz val="12"/>
            <color rgb="FF000000"/>
            <rFont val="Aptos Narrow"/>
            <family val="2"/>
          </rPr>
          <t xml:space="preserve">Jake Higgins:
</t>
        </r>
        <r>
          <rPr>
            <sz val="12"/>
            <color rgb="FF000000"/>
            <rFont val="Aptos Narrow"/>
            <family val="2"/>
          </rPr>
          <t xml:space="preserve">just made an assumption that cash at the beginning of 2008 is 10% of current assets at the time - i would say industry standard is anywhere 8-12% ish
</t>
        </r>
      </text>
    </comment>
  </commentList>
</comments>
</file>

<file path=xl/sharedStrings.xml><?xml version="1.0" encoding="utf-8"?>
<sst xmlns="http://schemas.openxmlformats.org/spreadsheetml/2006/main" count="315" uniqueCount="203">
  <si>
    <r>
      <t xml:space="preserve">Wrigley Selected Financial Data </t>
    </r>
    <r>
      <rPr>
        <i/>
        <sz val="12"/>
        <color theme="1"/>
        <rFont val="Aptos Narrow"/>
        <scheme val="minor"/>
      </rPr>
      <t>(in millions)</t>
    </r>
  </si>
  <si>
    <t>Operating Data</t>
  </si>
  <si>
    <t>Revenues</t>
  </si>
  <si>
    <t>Gross profit</t>
  </si>
  <si>
    <t>Income taxes</t>
  </si>
  <si>
    <t>Net Earnings</t>
  </si>
  <si>
    <t>Per share of common stock (diluted)</t>
  </si>
  <si>
    <t>Dividends Paid</t>
  </si>
  <si>
    <t>Per share of common stock</t>
  </si>
  <si>
    <t>As a Percentage of Net Earnings</t>
  </si>
  <si>
    <t>Average shares outstanding</t>
  </si>
  <si>
    <t>Other Financial Data</t>
  </si>
  <si>
    <t>Net property, plant and equipment</t>
  </si>
  <si>
    <t>Total assets</t>
  </si>
  <si>
    <t>Working capital</t>
  </si>
  <si>
    <t>Debt</t>
  </si>
  <si>
    <t>Stockholders' equity</t>
  </si>
  <si>
    <t>Return on average equity</t>
  </si>
  <si>
    <t>Stockholders of record at close of year</t>
  </si>
  <si>
    <t>Employees at close of Year</t>
  </si>
  <si>
    <t>Sales per employee</t>
  </si>
  <si>
    <r>
      <t xml:space="preserve">Confectionary Industry at the Beginning of 2008 </t>
    </r>
    <r>
      <rPr>
        <i/>
        <sz val="12"/>
        <color theme="1"/>
        <rFont val="Aptos Narrow"/>
        <scheme val="minor"/>
      </rPr>
      <t>(in millions)</t>
    </r>
  </si>
  <si>
    <t>Companies</t>
  </si>
  <si>
    <t>Operating Margin</t>
  </si>
  <si>
    <t>Net Income</t>
  </si>
  <si>
    <t>EBIT</t>
  </si>
  <si>
    <t>Long-Term Debt</t>
  </si>
  <si>
    <t>Current Assets</t>
  </si>
  <si>
    <t>Current Liabilities</t>
  </si>
  <si>
    <t>Employees</t>
  </si>
  <si>
    <t>Cadbury plc</t>
  </si>
  <si>
    <t>Kraft Foods Inc.</t>
  </si>
  <si>
    <t>Lance, Inc.</t>
  </si>
  <si>
    <t>The Hershey Company</t>
  </si>
  <si>
    <t>Tootsie Roll Industries, Inc.</t>
  </si>
  <si>
    <t>Wm. Wrigley Jr. Company</t>
  </si>
  <si>
    <t>General Mills, Inc.</t>
  </si>
  <si>
    <t>Mars, Incorporated</t>
  </si>
  <si>
    <t>N/A</t>
  </si>
  <si>
    <t>Market Cap</t>
  </si>
  <si>
    <t>Shares</t>
  </si>
  <si>
    <t>Stock Price</t>
  </si>
  <si>
    <t>PE Ratio</t>
  </si>
  <si>
    <t>Bond Rating</t>
  </si>
  <si>
    <t>βeta</t>
  </si>
  <si>
    <t>Dividend Yield</t>
  </si>
  <si>
    <t>Tax Rate</t>
  </si>
  <si>
    <t>Aa</t>
  </si>
  <si>
    <t>Aaa</t>
  </si>
  <si>
    <t>A</t>
  </si>
  <si>
    <t>Growth Rate of Mature Company</t>
  </si>
  <si>
    <r>
      <t xml:space="preserve">Financial forecast for Wrigley, Stand-Alone Valuation </t>
    </r>
    <r>
      <rPr>
        <i/>
        <sz val="12"/>
        <color theme="1"/>
        <rFont val="Aptos Narrow"/>
        <scheme val="minor"/>
      </rPr>
      <t>(in millions)</t>
    </r>
  </si>
  <si>
    <t>Item</t>
  </si>
  <si>
    <t>2008F</t>
  </si>
  <si>
    <t>2009F</t>
  </si>
  <si>
    <t>2010F</t>
  </si>
  <si>
    <t>2011F</t>
  </si>
  <si>
    <t>2012F</t>
  </si>
  <si>
    <t>Sugar prices (dollar/tonne)</t>
  </si>
  <si>
    <t>Sugar (in millions of tonnes)</t>
  </si>
  <si>
    <t>Corporate Bonds</t>
  </si>
  <si>
    <t>Treasury Bills</t>
  </si>
  <si>
    <t>Revenue by Regions</t>
  </si>
  <si>
    <t>1m</t>
  </si>
  <si>
    <t>North America</t>
  </si>
  <si>
    <t>3m</t>
  </si>
  <si>
    <t>EMEAI</t>
  </si>
  <si>
    <t>6m</t>
  </si>
  <si>
    <t>Asia</t>
  </si>
  <si>
    <t>Baa</t>
  </si>
  <si>
    <t>1y</t>
  </si>
  <si>
    <t>All other</t>
  </si>
  <si>
    <t>2y</t>
  </si>
  <si>
    <t>3y</t>
  </si>
  <si>
    <t>COGS</t>
  </si>
  <si>
    <t>5y</t>
  </si>
  <si>
    <t>Sugar</t>
  </si>
  <si>
    <t>7y</t>
  </si>
  <si>
    <t>Other</t>
  </si>
  <si>
    <t>10y</t>
  </si>
  <si>
    <t>Total COGS</t>
  </si>
  <si>
    <t>Market Risk Premium</t>
  </si>
  <si>
    <t>20y</t>
  </si>
  <si>
    <t>SG&amp;A</t>
  </si>
  <si>
    <t>30y</t>
  </si>
  <si>
    <t>Operating income</t>
  </si>
  <si>
    <t>NOPAT</t>
  </si>
  <si>
    <t>Depreciation</t>
  </si>
  <si>
    <t>Capital Expenditure</t>
  </si>
  <si>
    <t>Changes in NWC</t>
  </si>
  <si>
    <t>FCF</t>
  </si>
  <si>
    <t>Net PPE</t>
  </si>
  <si>
    <t>% of Sales</t>
  </si>
  <si>
    <t>NWC</t>
  </si>
  <si>
    <t>Tax rate</t>
  </si>
  <si>
    <t>Valuation Inputs</t>
  </si>
  <si>
    <t>Discounted Cash Flow Model</t>
  </si>
  <si>
    <t>Year</t>
  </si>
  <si>
    <t>6 and Beyond…</t>
  </si>
  <si>
    <t>Cost of Equity</t>
  </si>
  <si>
    <t>Items</t>
  </si>
  <si>
    <t>Terminal Value</t>
  </si>
  <si>
    <t>Weight of Equity</t>
  </si>
  <si>
    <t>Free Cash Flows</t>
  </si>
  <si>
    <t>Other groups content</t>
  </si>
  <si>
    <t>Cost of Debt</t>
  </si>
  <si>
    <t>Discount Factor</t>
  </si>
  <si>
    <t>Slide No.</t>
  </si>
  <si>
    <t>TIFFANY - Tejasvee, prachi, anshika, rhea</t>
  </si>
  <si>
    <t>LVMH</t>
  </si>
  <si>
    <t>tifany - yash khanter, rishav, nithin</t>
  </si>
  <si>
    <t>Weight of Debt</t>
  </si>
  <si>
    <t>Present Value</t>
  </si>
  <si>
    <t>Business overview</t>
  </si>
  <si>
    <t>short description</t>
  </si>
  <si>
    <t>current financial situation</t>
  </si>
  <si>
    <t>Risk-Free Rate (10 year)</t>
  </si>
  <si>
    <t>Industry overview</t>
  </si>
  <si>
    <t>table of contents</t>
  </si>
  <si>
    <t>very brief history of lvmh and tiffany</t>
  </si>
  <si>
    <t>Rationale for acquisition (Tiffany Viewpoint)</t>
  </si>
  <si>
    <t>background of lvmh</t>
  </si>
  <si>
    <t>ranking of peers and itself</t>
  </si>
  <si>
    <t>Rationale for acquisition (LVMH viewpoint)</t>
  </si>
  <si>
    <t>background of tiffany</t>
  </si>
  <si>
    <t>peer market share</t>
  </si>
  <si>
    <t>Terminal Growth Rate</t>
  </si>
  <si>
    <t>Pre and post financial comparison</t>
  </si>
  <si>
    <t>tiffany financial position</t>
  </si>
  <si>
    <t>why acquired only tiffany, why not others</t>
  </si>
  <si>
    <t>WACC</t>
  </si>
  <si>
    <t>Share Price Sensitivity Analysis</t>
  </si>
  <si>
    <t>Valuation of tiffany (EV multiples and per share value bar graph)</t>
  </si>
  <si>
    <t>competition analysis</t>
  </si>
  <si>
    <t>bulgari info</t>
  </si>
  <si>
    <t>Current Share Price</t>
  </si>
  <si>
    <t>lvmh group revenue composition</t>
  </si>
  <si>
    <t>success of bulgari</t>
  </si>
  <si>
    <t>Valuation methodology and key assumptions</t>
  </si>
  <si>
    <t>geographic revenue breakdown</t>
  </si>
  <si>
    <t>what tiffany brings to lvmh, mostly bar graph</t>
  </si>
  <si>
    <t>Equity Value Calculation Inputs</t>
  </si>
  <si>
    <t>NM</t>
  </si>
  <si>
    <t>Deal Conditions</t>
  </si>
  <si>
    <t>tiffany Balance sheet</t>
  </si>
  <si>
    <t>brief geographic situation</t>
  </si>
  <si>
    <t xml:space="preserve">Current Assets </t>
  </si>
  <si>
    <t xml:space="preserve">Valuation </t>
  </si>
  <si>
    <t>final recommendation</t>
  </si>
  <si>
    <t>tiffany income statement</t>
  </si>
  <si>
    <t>valuation summary</t>
  </si>
  <si>
    <t>Cash (10% Curr. Assets)</t>
  </si>
  <si>
    <t>Enterprise Value</t>
  </si>
  <si>
    <t>THANK YOU</t>
  </si>
  <si>
    <t>tiffany dcf</t>
  </si>
  <si>
    <t>football field chart for valuation</t>
  </si>
  <si>
    <t>(-) Debt Value</t>
  </si>
  <si>
    <t>forecast assumptions</t>
  </si>
  <si>
    <t>price position</t>
  </si>
  <si>
    <t>(+) Cash and Cash Equivalents</t>
  </si>
  <si>
    <t>WACC tiffany</t>
  </si>
  <si>
    <t>Equity Value</t>
  </si>
  <si>
    <t>combined valuation</t>
  </si>
  <si>
    <t xml:space="preserve">Shares Outstanding </t>
  </si>
  <si>
    <t>combined dcf</t>
  </si>
  <si>
    <t>Price Per Share</t>
  </si>
  <si>
    <t>combined cost of debt</t>
  </si>
  <si>
    <t>combined WACC</t>
  </si>
  <si>
    <t>industry beta and target d/e</t>
  </si>
  <si>
    <t>fcf forecast</t>
  </si>
  <si>
    <t>scenario analysis</t>
  </si>
  <si>
    <t>EPS</t>
  </si>
  <si>
    <t>valuation results</t>
  </si>
  <si>
    <t>EV/EBIT Multiple</t>
  </si>
  <si>
    <t>multiple valuation model</t>
  </si>
  <si>
    <t>P/E Ratio</t>
  </si>
  <si>
    <t>equity to enterprise value calculation</t>
  </si>
  <si>
    <t>comparables valuation analysis</t>
  </si>
  <si>
    <t>price range per share</t>
  </si>
  <si>
    <t>Comparable Companies Multiple Analysis</t>
  </si>
  <si>
    <t>Cash</t>
  </si>
  <si>
    <t>EV</t>
  </si>
  <si>
    <t>EV/EBIT</t>
  </si>
  <si>
    <t>Average</t>
  </si>
  <si>
    <t>EV/EBIT Multiple Comparison</t>
  </si>
  <si>
    <t>P/E Ratio Comparison</t>
  </si>
  <si>
    <t>Peers</t>
  </si>
  <si>
    <t>Wrigley</t>
  </si>
  <si>
    <r>
      <rPr>
        <b/>
        <sz val="12"/>
        <color rgb="FF000000"/>
        <rFont val="Aptos Narrow"/>
      </rPr>
      <t xml:space="preserve">Financial forecast for Wrigley, Synergy Valuation </t>
    </r>
    <r>
      <rPr>
        <i/>
        <sz val="12"/>
        <color rgb="FF000000"/>
        <rFont val="Aptos Narrow"/>
      </rPr>
      <t>(in millions)</t>
    </r>
  </si>
  <si>
    <t>Synergies ($ in millions)</t>
  </si>
  <si>
    <t>EMEAI Revenue</t>
  </si>
  <si>
    <t>Asia Revenue</t>
  </si>
  <si>
    <t>SG&amp;A Savings</t>
  </si>
  <si>
    <t> </t>
  </si>
  <si>
    <t>After Tax Savings</t>
  </si>
  <si>
    <t>EMEAI Revenue w/ Synergy</t>
  </si>
  <si>
    <t>Asia Revenue w/ Synergy</t>
  </si>
  <si>
    <t>SG&amp;A w/ Synergy</t>
  </si>
  <si>
    <t>One-Time NWC Reduction</t>
  </si>
  <si>
    <t>After-Tax Savings w/ Synergy</t>
  </si>
  <si>
    <t>6 &amp; Beyond...</t>
  </si>
  <si>
    <t>Shares Outstanding</t>
  </si>
  <si>
    <t>Price per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</si>
</sst>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0.0000"/>
    <numFmt numFmtId="167" formatCode="0.0"/>
  </numFmts>
  <fonts count="3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theme="1"/>
      <name val="Aptos Display"/>
      <scheme val="major"/>
    </font>
    <font>
      <b/>
      <sz val="12"/>
      <color theme="1"/>
      <name val="Aptos Display"/>
      <scheme val="major"/>
    </font>
    <font>
      <i/>
      <sz val="12"/>
      <color theme="1"/>
      <name val="Aptos Display"/>
      <scheme val="major"/>
    </font>
    <font>
      <b/>
      <sz val="12"/>
      <color theme="0"/>
      <name val="Aptos Display"/>
      <scheme val="major"/>
    </font>
    <font>
      <b/>
      <sz val="12"/>
      <color theme="0"/>
      <name val="Aptos Narrow"/>
      <scheme val="minor"/>
    </font>
    <font>
      <b/>
      <sz val="12"/>
      <color rgb="FFFF0000"/>
      <name val="Aptos Narrow"/>
      <scheme val="minor"/>
    </font>
    <font>
      <b/>
      <i/>
      <sz val="12"/>
      <color theme="1"/>
      <name val="Aptos Narrow"/>
      <scheme val="minor"/>
    </font>
    <font>
      <i/>
      <sz val="11"/>
      <color theme="1"/>
      <name val="Aptos Narrow"/>
      <scheme val="minor"/>
    </font>
    <font>
      <b/>
      <sz val="8"/>
      <color theme="1"/>
      <name val="Aptos Narrow"/>
      <scheme val="minor"/>
    </font>
    <font>
      <sz val="12"/>
      <color theme="1"/>
      <name val="Aptos Narrow"/>
      <scheme val="minor"/>
    </font>
    <font>
      <b/>
      <sz val="16"/>
      <color theme="0"/>
      <name val="Aptos Narrow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scheme val="minor"/>
    </font>
    <font>
      <b/>
      <sz val="16"/>
      <color theme="3" tint="0.249977111117893"/>
      <name val="Aptos Narrow"/>
      <scheme val="minor"/>
    </font>
    <font>
      <i/>
      <sz val="12"/>
      <color theme="2" tint="-0.499984740745262"/>
      <name val="Aptos Narrow"/>
      <scheme val="minor"/>
    </font>
    <font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1"/>
      <color theme="1"/>
      <name val="Aptos Narrow"/>
      <scheme val="minor"/>
    </font>
    <font>
      <sz val="12"/>
      <color rgb="FF000000"/>
      <name val="Aptos Narrow"/>
      <family val="2"/>
    </font>
    <font>
      <b/>
      <sz val="12"/>
      <color theme="0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rgb="FF000000"/>
      <name val="Aptos Narrow"/>
    </font>
    <font>
      <i/>
      <sz val="12"/>
      <color rgb="FF000000"/>
      <name val="Aptos Narrow"/>
    </font>
    <font>
      <sz val="12"/>
      <color rgb="FF000000"/>
      <name val="Aptos Narrow"/>
    </font>
    <font>
      <i/>
      <sz val="12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3" tint="0.249977111117893"/>
      <name val="Aptos Narrow"/>
      <family val="2"/>
      <scheme val="minor"/>
    </font>
    <font>
      <i/>
      <sz val="12"/>
      <color theme="2" tint="-0.499984740745262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93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300"/>
        <bgColor rgb="FF000000"/>
      </patternFill>
    </fill>
  </fills>
  <borders count="1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Dashed">
        <color indexed="64"/>
      </right>
      <top/>
      <bottom style="medium">
        <color indexed="64"/>
      </bottom>
      <diagonal/>
    </border>
    <border>
      <left/>
      <right style="mediumDashed">
        <color indexed="64"/>
      </right>
      <top/>
      <bottom/>
      <diagonal/>
    </border>
    <border>
      <left/>
      <right style="mediumDashed">
        <color indexed="64"/>
      </right>
      <top/>
      <bottom style="thin">
        <color indexed="64"/>
      </bottom>
      <diagonal/>
    </border>
    <border>
      <left/>
      <right style="mediumDashed">
        <color indexed="64"/>
      </right>
      <top style="thin">
        <color indexed="64"/>
      </top>
      <bottom/>
      <diagonal/>
    </border>
    <border>
      <left/>
      <right style="mediumDashed">
        <color indexed="64"/>
      </right>
      <top style="thin">
        <color indexed="64"/>
      </top>
      <bottom style="double">
        <color indexed="64"/>
      </bottom>
      <diagonal/>
    </border>
    <border>
      <left/>
      <right style="mediumDashed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Dashed">
        <color indexed="64"/>
      </left>
      <right style="thin">
        <color indexed="64"/>
      </right>
      <top style="thin">
        <color indexed="64"/>
      </top>
      <bottom/>
      <diagonal/>
    </border>
    <border>
      <left style="mediumDash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Dashed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Dashed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Dashed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Dashed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/>
      <right style="medium">
        <color theme="1"/>
      </right>
      <top style="medium">
        <color indexed="64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/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/>
      <bottom style="medium">
        <color rgb="FF000000"/>
      </bottom>
      <diagonal/>
    </border>
    <border>
      <left style="medium">
        <color theme="1"/>
      </left>
      <right/>
      <top/>
      <bottom/>
      <diagonal/>
    </border>
    <border>
      <left style="thin">
        <color theme="1"/>
      </left>
      <right style="medium">
        <color theme="1"/>
      </right>
      <top style="medium">
        <color rgb="FF000000"/>
      </top>
      <bottom style="medium">
        <color indexed="64"/>
      </bottom>
      <diagonal/>
    </border>
    <border>
      <left/>
      <right style="medium">
        <color theme="1"/>
      </right>
      <top style="hair">
        <color indexed="64"/>
      </top>
      <bottom style="hair">
        <color indexed="64"/>
      </bottom>
      <diagonal/>
    </border>
    <border>
      <left style="medium">
        <color theme="1"/>
      </left>
      <right style="medium">
        <color indexed="64"/>
      </right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hair">
        <color indexed="64"/>
      </left>
      <right style="hair">
        <color indexed="64"/>
      </right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medium">
        <color rgb="FF000000"/>
      </bottom>
      <diagonal/>
    </border>
    <border>
      <left style="medium">
        <color theme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Dashed">
        <color indexed="64"/>
      </right>
      <top/>
      <bottom style="medium">
        <color rgb="FF000000"/>
      </bottom>
      <diagonal/>
    </border>
    <border>
      <left style="mediumDashed">
        <color indexed="64"/>
      </left>
      <right style="thin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theme="1"/>
      </left>
      <right/>
      <top style="medium">
        <color theme="1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4">
    <xf numFmtId="0" fontId="0" fillId="0" borderId="0" xfId="0"/>
    <xf numFmtId="3" fontId="0" fillId="0" borderId="0" xfId="0" applyNumberFormat="1"/>
    <xf numFmtId="44" fontId="4" fillId="0" borderId="0" xfId="2" applyFont="1"/>
    <xf numFmtId="44" fontId="6" fillId="0" borderId="5" xfId="2" applyFont="1" applyBorder="1"/>
    <xf numFmtId="0" fontId="4" fillId="0" borderId="6" xfId="0" applyFont="1" applyBorder="1"/>
    <xf numFmtId="3" fontId="4" fillId="0" borderId="6" xfId="0" applyNumberFormat="1" applyFont="1" applyBorder="1"/>
    <xf numFmtId="44" fontId="4" fillId="0" borderId="7" xfId="2" applyFont="1" applyBorder="1"/>
    <xf numFmtId="0" fontId="7" fillId="2" borderId="2" xfId="0" applyFont="1" applyFill="1" applyBorder="1"/>
    <xf numFmtId="0" fontId="7" fillId="2" borderId="0" xfId="0" applyFont="1" applyFill="1" applyAlignment="1">
      <alignment horizontal="left"/>
    </xf>
    <xf numFmtId="0" fontId="7" fillId="2" borderId="1" xfId="0" applyFont="1" applyFill="1" applyBorder="1"/>
    <xf numFmtId="0" fontId="6" fillId="0" borderId="7" xfId="0" applyFont="1" applyBorder="1" applyAlignment="1">
      <alignment horizontal="center"/>
    </xf>
    <xf numFmtId="44" fontId="6" fillId="0" borderId="7" xfId="2" applyFont="1" applyBorder="1"/>
    <xf numFmtId="164" fontId="4" fillId="0" borderId="0" xfId="1" applyNumberFormat="1" applyFont="1" applyBorder="1"/>
    <xf numFmtId="10" fontId="0" fillId="0" borderId="0" xfId="0" applyNumberFormat="1"/>
    <xf numFmtId="165" fontId="0" fillId="0" borderId="0" xfId="2" applyNumberFormat="1" applyFont="1"/>
    <xf numFmtId="164" fontId="4" fillId="0" borderId="1" xfId="1" applyNumberFormat="1" applyFont="1" applyBorder="1"/>
    <xf numFmtId="9" fontId="4" fillId="0" borderId="4" xfId="0" applyNumberFormat="1" applyFont="1" applyBorder="1"/>
    <xf numFmtId="164" fontId="0" fillId="0" borderId="0" xfId="1" applyNumberFormat="1" applyFont="1" applyBorder="1"/>
    <xf numFmtId="0" fontId="0" fillId="0" borderId="7" xfId="0" applyBorder="1"/>
    <xf numFmtId="165" fontId="0" fillId="0" borderId="7" xfId="2" applyNumberFormat="1" applyFont="1" applyBorder="1"/>
    <xf numFmtId="10" fontId="0" fillId="0" borderId="7" xfId="0" applyNumberFormat="1" applyBorder="1"/>
    <xf numFmtId="0" fontId="8" fillId="2" borderId="7" xfId="0" applyFont="1" applyFill="1" applyBorder="1" applyAlignment="1">
      <alignment horizontal="center"/>
    </xf>
    <xf numFmtId="44" fontId="4" fillId="0" borderId="4" xfId="2" applyFont="1" applyBorder="1"/>
    <xf numFmtId="9" fontId="4" fillId="0" borderId="0" xfId="0" applyNumberFormat="1" applyFont="1"/>
    <xf numFmtId="3" fontId="4" fillId="0" borderId="7" xfId="0" applyNumberFormat="1" applyFont="1" applyBorder="1"/>
    <xf numFmtId="0" fontId="8" fillId="2" borderId="7" xfId="0" applyFont="1" applyFill="1" applyBorder="1" applyAlignment="1">
      <alignment horizontal="left"/>
    </xf>
    <xf numFmtId="165" fontId="0" fillId="0" borderId="0" xfId="2" applyNumberFormat="1" applyFont="1" applyAlignment="1">
      <alignment horizontal="right"/>
    </xf>
    <xf numFmtId="165" fontId="0" fillId="0" borderId="4" xfId="2" applyNumberFormat="1" applyFont="1" applyBorder="1"/>
    <xf numFmtId="0" fontId="0" fillId="0" borderId="1" xfId="0" applyBorder="1"/>
    <xf numFmtId="0" fontId="9" fillId="0" borderId="8" xfId="0" applyFont="1" applyBorder="1"/>
    <xf numFmtId="9" fontId="9" fillId="0" borderId="9" xfId="0" applyNumberFormat="1" applyFont="1" applyBorder="1"/>
    <xf numFmtId="0" fontId="8" fillId="2" borderId="0" xfId="0" applyFont="1" applyFill="1" applyAlignment="1">
      <alignment horizontal="center"/>
    </xf>
    <xf numFmtId="0" fontId="0" fillId="0" borderId="6" xfId="0" applyBorder="1"/>
    <xf numFmtId="0" fontId="2" fillId="0" borderId="0" xfId="0" applyFont="1"/>
    <xf numFmtId="165" fontId="0" fillId="0" borderId="11" xfId="2" applyNumberFormat="1" applyFont="1" applyBorder="1"/>
    <xf numFmtId="0" fontId="0" fillId="0" borderId="12" xfId="0" applyBorder="1"/>
    <xf numFmtId="0" fontId="0" fillId="0" borderId="10" xfId="0" applyBorder="1"/>
    <xf numFmtId="0" fontId="2" fillId="0" borderId="11" xfId="0" applyFont="1" applyBorder="1"/>
    <xf numFmtId="165" fontId="0" fillId="0" borderId="13" xfId="2" applyNumberFormat="1" applyFont="1" applyBorder="1"/>
    <xf numFmtId="0" fontId="0" fillId="0" borderId="11" xfId="0" applyBorder="1"/>
    <xf numFmtId="165" fontId="0" fillId="0" borderId="10" xfId="2" applyNumberFormat="1" applyFont="1" applyBorder="1"/>
    <xf numFmtId="0" fontId="0" fillId="0" borderId="15" xfId="0" applyBorder="1"/>
    <xf numFmtId="10" fontId="11" fillId="0" borderId="11" xfId="0" applyNumberFormat="1" applyFont="1" applyBorder="1" applyAlignment="1">
      <alignment horizontal="right"/>
    </xf>
    <xf numFmtId="10" fontId="11" fillId="0" borderId="10" xfId="0" applyNumberFormat="1" applyFont="1" applyBorder="1" applyAlignment="1">
      <alignment horizontal="right"/>
    </xf>
    <xf numFmtId="165" fontId="0" fillId="0" borderId="17" xfId="2" applyNumberFormat="1" applyFont="1" applyBorder="1"/>
    <xf numFmtId="165" fontId="0" fillId="0" borderId="18" xfId="2" applyNumberFormat="1" applyFont="1" applyBorder="1"/>
    <xf numFmtId="165" fontId="0" fillId="0" borderId="20" xfId="2" applyNumberFormat="1" applyFont="1" applyBorder="1"/>
    <xf numFmtId="165" fontId="0" fillId="0" borderId="21" xfId="2" applyNumberFormat="1" applyFont="1" applyBorder="1"/>
    <xf numFmtId="165" fontId="0" fillId="0" borderId="22" xfId="2" applyNumberFormat="1" applyFont="1" applyBorder="1"/>
    <xf numFmtId="165" fontId="0" fillId="0" borderId="23" xfId="2" applyNumberFormat="1" applyFont="1" applyBorder="1"/>
    <xf numFmtId="165" fontId="0" fillId="0" borderId="25" xfId="2" applyNumberFormat="1" applyFont="1" applyBorder="1"/>
    <xf numFmtId="165" fontId="0" fillId="0" borderId="26" xfId="2" applyNumberFormat="1" applyFont="1" applyBorder="1"/>
    <xf numFmtId="165" fontId="0" fillId="0" borderId="27" xfId="2" applyNumberFormat="1" applyFont="1" applyBorder="1"/>
    <xf numFmtId="10" fontId="11" fillId="0" borderId="18" xfId="3" applyNumberFormat="1" applyFont="1" applyBorder="1" applyAlignment="1">
      <alignment horizontal="right"/>
    </xf>
    <xf numFmtId="10" fontId="11" fillId="0" borderId="25" xfId="0" applyNumberFormat="1" applyFont="1" applyBorder="1" applyAlignment="1">
      <alignment horizontal="right"/>
    </xf>
    <xf numFmtId="165" fontId="0" fillId="0" borderId="28" xfId="2" applyNumberFormat="1" applyFont="1" applyBorder="1"/>
    <xf numFmtId="10" fontId="11" fillId="0" borderId="23" xfId="0" applyNumberFormat="1" applyFont="1" applyBorder="1" applyAlignment="1">
      <alignment horizontal="right"/>
    </xf>
    <xf numFmtId="10" fontId="11" fillId="0" borderId="26" xfId="0" applyNumberFormat="1" applyFont="1" applyBorder="1" applyAlignment="1">
      <alignment horizontal="right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10" fontId="0" fillId="0" borderId="32" xfId="0" applyNumberFormat="1" applyBorder="1"/>
    <xf numFmtId="0" fontId="0" fillId="0" borderId="33" xfId="0" applyBorder="1"/>
    <xf numFmtId="10" fontId="0" fillId="0" borderId="34" xfId="0" applyNumberFormat="1" applyBorder="1"/>
    <xf numFmtId="10" fontId="0" fillId="0" borderId="32" xfId="3" applyNumberFormat="1" applyFont="1" applyBorder="1"/>
    <xf numFmtId="10" fontId="0" fillId="0" borderId="34" xfId="3" applyNumberFormat="1" applyFont="1" applyBorder="1"/>
    <xf numFmtId="10" fontId="0" fillId="0" borderId="28" xfId="0" applyNumberFormat="1" applyBorder="1"/>
    <xf numFmtId="10" fontId="0" fillId="0" borderId="23" xfId="0" applyNumberFormat="1" applyBorder="1"/>
    <xf numFmtId="164" fontId="0" fillId="0" borderId="28" xfId="1" applyNumberFormat="1" applyFont="1" applyBorder="1"/>
    <xf numFmtId="164" fontId="0" fillId="0" borderId="23" xfId="1" applyNumberFormat="1" applyFont="1" applyBorder="1"/>
    <xf numFmtId="164" fontId="0" fillId="0" borderId="26" xfId="1" applyNumberFormat="1" applyFont="1" applyBorder="1"/>
    <xf numFmtId="44" fontId="0" fillId="0" borderId="28" xfId="2" applyFont="1" applyBorder="1"/>
    <xf numFmtId="44" fontId="0" fillId="0" borderId="23" xfId="2" applyFont="1" applyBorder="1"/>
    <xf numFmtId="44" fontId="0" fillId="0" borderId="26" xfId="2" applyFont="1" applyBorder="1"/>
    <xf numFmtId="0" fontId="0" fillId="0" borderId="28" xfId="0" applyBorder="1"/>
    <xf numFmtId="0" fontId="0" fillId="0" borderId="23" xfId="0" applyBorder="1"/>
    <xf numFmtId="0" fontId="0" fillId="0" borderId="26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0" fillId="0" borderId="26" xfId="0" applyBorder="1" applyAlignment="1">
      <alignment horizontal="right"/>
    </xf>
    <xf numFmtId="10" fontId="0" fillId="0" borderId="26" xfId="0" applyNumberFormat="1" applyBorder="1"/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165" fontId="2" fillId="0" borderId="26" xfId="2" applyNumberFormat="1" applyFont="1" applyFill="1" applyBorder="1"/>
    <xf numFmtId="164" fontId="2" fillId="0" borderId="7" xfId="1" applyNumberFormat="1" applyFont="1" applyFill="1" applyBorder="1"/>
    <xf numFmtId="165" fontId="2" fillId="3" borderId="23" xfId="2" applyNumberFormat="1" applyFont="1" applyFill="1" applyBorder="1"/>
    <xf numFmtId="10" fontId="2" fillId="3" borderId="23" xfId="0" applyNumberFormat="1" applyFont="1" applyFill="1" applyBorder="1"/>
    <xf numFmtId="164" fontId="2" fillId="3" borderId="0" xfId="1" applyNumberFormat="1" applyFont="1" applyFill="1" applyBorder="1"/>
    <xf numFmtId="164" fontId="2" fillId="3" borderId="23" xfId="1" applyNumberFormat="1" applyFont="1" applyFill="1" applyBorder="1"/>
    <xf numFmtId="44" fontId="2" fillId="3" borderId="23" xfId="2" applyFont="1" applyFill="1" applyBorder="1"/>
    <xf numFmtId="0" fontId="2" fillId="3" borderId="23" xfId="0" applyFont="1" applyFill="1" applyBorder="1"/>
    <xf numFmtId="0" fontId="2" fillId="3" borderId="23" xfId="0" applyFont="1" applyFill="1" applyBorder="1" applyAlignment="1">
      <alignment horizontal="right"/>
    </xf>
    <xf numFmtId="0" fontId="2" fillId="3" borderId="23" xfId="0" applyFont="1" applyFill="1" applyBorder="1" applyAlignment="1">
      <alignment horizontal="center"/>
    </xf>
    <xf numFmtId="10" fontId="2" fillId="3" borderId="0" xfId="0" applyNumberFormat="1" applyFont="1" applyFill="1"/>
    <xf numFmtId="0" fontId="10" fillId="0" borderId="28" xfId="0" applyFont="1" applyBorder="1"/>
    <xf numFmtId="0" fontId="0" fillId="0" borderId="22" xfId="0" applyBorder="1" applyAlignment="1">
      <alignment horizontal="center"/>
    </xf>
    <xf numFmtId="0" fontId="0" fillId="0" borderId="22" xfId="0" applyBorder="1"/>
    <xf numFmtId="0" fontId="11" fillId="0" borderId="23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0" fillId="0" borderId="37" xfId="0" applyBorder="1"/>
    <xf numFmtId="0" fontId="10" fillId="0" borderId="0" xfId="0" applyFont="1"/>
    <xf numFmtId="44" fontId="4" fillId="0" borderId="22" xfId="2" applyFont="1" applyBorder="1"/>
    <xf numFmtId="44" fontId="4" fillId="0" borderId="23" xfId="2" applyFont="1" applyBorder="1"/>
    <xf numFmtId="44" fontId="6" fillId="0" borderId="38" xfId="2" applyFont="1" applyBorder="1"/>
    <xf numFmtId="9" fontId="4" fillId="0" borderId="23" xfId="0" applyNumberFormat="1" applyFont="1" applyBorder="1"/>
    <xf numFmtId="43" fontId="4" fillId="0" borderId="26" xfId="1" applyFont="1" applyBorder="1"/>
    <xf numFmtId="3" fontId="4" fillId="0" borderId="26" xfId="0" applyNumberFormat="1" applyFont="1" applyBorder="1"/>
    <xf numFmtId="9" fontId="4" fillId="0" borderId="22" xfId="0" applyNumberFormat="1" applyFont="1" applyBorder="1"/>
    <xf numFmtId="164" fontId="4" fillId="0" borderId="23" xfId="1" applyNumberFormat="1" applyFont="1" applyBorder="1"/>
    <xf numFmtId="164" fontId="4" fillId="0" borderId="30" xfId="1" applyNumberFormat="1" applyFont="1" applyBorder="1"/>
    <xf numFmtId="44" fontId="4" fillId="0" borderId="26" xfId="2" applyFont="1" applyBorder="1"/>
    <xf numFmtId="0" fontId="2" fillId="0" borderId="26" xfId="0" applyFont="1" applyBorder="1"/>
    <xf numFmtId="44" fontId="5" fillId="3" borderId="24" xfId="2" applyFont="1" applyFill="1" applyBorder="1"/>
    <xf numFmtId="44" fontId="5" fillId="3" borderId="3" xfId="2" applyFont="1" applyFill="1" applyBorder="1"/>
    <xf numFmtId="44" fontId="4" fillId="3" borderId="23" xfId="2" applyFont="1" applyFill="1" applyBorder="1"/>
    <xf numFmtId="44" fontId="4" fillId="3" borderId="0" xfId="2" applyFont="1" applyFill="1"/>
    <xf numFmtId="44" fontId="4" fillId="3" borderId="0" xfId="2" applyFont="1" applyFill="1" applyAlignment="1"/>
    <xf numFmtId="165" fontId="0" fillId="0" borderId="39" xfId="2" applyNumberFormat="1" applyFont="1" applyBorder="1"/>
    <xf numFmtId="10" fontId="11" fillId="0" borderId="7" xfId="0" applyNumberFormat="1" applyFont="1" applyBorder="1" applyAlignment="1">
      <alignment horizontal="right"/>
    </xf>
    <xf numFmtId="10" fontId="11" fillId="0" borderId="40" xfId="0" applyNumberFormat="1" applyFont="1" applyBorder="1" applyAlignment="1">
      <alignment horizontal="right"/>
    </xf>
    <xf numFmtId="10" fontId="0" fillId="0" borderId="41" xfId="0" applyNumberFormat="1" applyBorder="1"/>
    <xf numFmtId="0" fontId="0" fillId="0" borderId="41" xfId="0" applyBorder="1"/>
    <xf numFmtId="0" fontId="12" fillId="0" borderId="26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165" fontId="0" fillId="0" borderId="30" xfId="2" applyNumberFormat="1" applyFont="1" applyBorder="1"/>
    <xf numFmtId="165" fontId="0" fillId="0" borderId="12" xfId="2" applyNumberFormat="1" applyFont="1" applyBorder="1"/>
    <xf numFmtId="165" fontId="0" fillId="0" borderId="29" xfId="2" applyNumberFormat="1" applyFont="1" applyBorder="1"/>
    <xf numFmtId="165" fontId="0" fillId="0" borderId="1" xfId="2" applyNumberFormat="1" applyFont="1" applyBorder="1"/>
    <xf numFmtId="0" fontId="2" fillId="3" borderId="31" xfId="0" applyFont="1" applyFill="1" applyBorder="1"/>
    <xf numFmtId="10" fontId="2" fillId="3" borderId="32" xfId="3" applyNumberFormat="1" applyFont="1" applyFill="1" applyBorder="1"/>
    <xf numFmtId="10" fontId="2" fillId="3" borderId="32" xfId="0" applyNumberFormat="1" applyFont="1" applyFill="1" applyBorder="1"/>
    <xf numFmtId="0" fontId="2" fillId="3" borderId="24" xfId="0" applyFont="1" applyFill="1" applyBorder="1" applyAlignment="1">
      <alignment horizontal="left"/>
    </xf>
    <xf numFmtId="165" fontId="2" fillId="3" borderId="24" xfId="2" applyNumberFormat="1" applyFont="1" applyFill="1" applyBorder="1"/>
    <xf numFmtId="165" fontId="2" fillId="3" borderId="14" xfId="2" applyNumberFormat="1" applyFont="1" applyFill="1" applyBorder="1"/>
    <xf numFmtId="165" fontId="2" fillId="3" borderId="16" xfId="2" applyNumberFormat="1" applyFont="1" applyFill="1" applyBorder="1"/>
    <xf numFmtId="165" fontId="2" fillId="3" borderId="19" xfId="2" applyNumberFormat="1" applyFont="1" applyFill="1" applyBorder="1"/>
    <xf numFmtId="165" fontId="2" fillId="3" borderId="3" xfId="2" applyNumberFormat="1" applyFont="1" applyFill="1" applyBorder="1"/>
    <xf numFmtId="0" fontId="2" fillId="3" borderId="24" xfId="0" applyFont="1" applyFill="1" applyBorder="1"/>
    <xf numFmtId="0" fontId="2" fillId="3" borderId="26" xfId="0" applyFont="1" applyFill="1" applyBorder="1"/>
    <xf numFmtId="165" fontId="2" fillId="3" borderId="26" xfId="2" applyNumberFormat="1" applyFont="1" applyFill="1" applyBorder="1"/>
    <xf numFmtId="165" fontId="2" fillId="3" borderId="10" xfId="2" applyNumberFormat="1" applyFont="1" applyFill="1" applyBorder="1"/>
    <xf numFmtId="165" fontId="2" fillId="3" borderId="25" xfId="2" applyNumberFormat="1" applyFont="1" applyFill="1" applyBorder="1"/>
    <xf numFmtId="165" fontId="2" fillId="3" borderId="7" xfId="2" applyNumberFormat="1" applyFont="1" applyFill="1" applyBorder="1"/>
    <xf numFmtId="0" fontId="8" fillId="2" borderId="11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13" fillId="0" borderId="31" xfId="0" applyFont="1" applyBorder="1"/>
    <xf numFmtId="10" fontId="13" fillId="0" borderId="32" xfId="3" applyNumberFormat="1" applyFont="1" applyFill="1" applyBorder="1"/>
    <xf numFmtId="10" fontId="2" fillId="0" borderId="0" xfId="0" applyNumberFormat="1" applyFont="1"/>
    <xf numFmtId="0" fontId="14" fillId="2" borderId="0" xfId="0" applyFont="1" applyFill="1" applyAlignment="1">
      <alignment horizontal="center"/>
    </xf>
    <xf numFmtId="0" fontId="16" fillId="0" borderId="42" xfId="0" applyFont="1" applyBorder="1"/>
    <xf numFmtId="10" fontId="16" fillId="0" borderId="4" xfId="0" applyNumberFormat="1" applyFont="1" applyBorder="1"/>
    <xf numFmtId="0" fontId="16" fillId="0" borderId="32" xfId="0" applyFont="1" applyBorder="1"/>
    <xf numFmtId="9" fontId="16" fillId="0" borderId="0" xfId="0" applyNumberFormat="1" applyFont="1"/>
    <xf numFmtId="10" fontId="16" fillId="0" borderId="0" xfId="0" applyNumberFormat="1" applyFont="1"/>
    <xf numFmtId="0" fontId="15" fillId="3" borderId="43" xfId="0" applyFont="1" applyFill="1" applyBorder="1"/>
    <xf numFmtId="0" fontId="4" fillId="0" borderId="22" xfId="0" applyFont="1" applyBorder="1"/>
    <xf numFmtId="0" fontId="4" fillId="0" borderId="23" xfId="0" applyFont="1" applyBorder="1"/>
    <xf numFmtId="0" fontId="5" fillId="3" borderId="24" xfId="0" applyFont="1" applyFill="1" applyBorder="1"/>
    <xf numFmtId="0" fontId="6" fillId="0" borderId="38" xfId="0" applyFont="1" applyBorder="1" applyAlignment="1">
      <alignment horizont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6" xfId="0" applyFont="1" applyBorder="1"/>
    <xf numFmtId="0" fontId="4" fillId="3" borderId="23" xfId="0" applyFont="1" applyFill="1" applyBorder="1"/>
    <xf numFmtId="0" fontId="4" fillId="0" borderId="30" xfId="0" applyFont="1" applyBorder="1"/>
    <xf numFmtId="0" fontId="16" fillId="0" borderId="9" xfId="0" applyFont="1" applyBorder="1"/>
    <xf numFmtId="0" fontId="16" fillId="0" borderId="6" xfId="0" applyFont="1" applyBorder="1" applyAlignment="1">
      <alignment horizontal="right"/>
    </xf>
    <xf numFmtId="0" fontId="16" fillId="0" borderId="34" xfId="0" applyFont="1" applyBorder="1"/>
    <xf numFmtId="9" fontId="16" fillId="0" borderId="7" xfId="0" applyNumberFormat="1" applyFont="1" applyBorder="1"/>
    <xf numFmtId="0" fontId="17" fillId="0" borderId="28" xfId="0" applyFont="1" applyBorder="1" applyAlignment="1">
      <alignment horizontal="center"/>
    </xf>
    <xf numFmtId="0" fontId="17" fillId="0" borderId="45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44" xfId="0" applyFont="1" applyBorder="1" applyAlignment="1">
      <alignment horizontal="center"/>
    </xf>
    <xf numFmtId="0" fontId="18" fillId="0" borderId="23" xfId="0" applyFont="1" applyBorder="1" applyAlignment="1">
      <alignment horizontal="center" vertical="center"/>
    </xf>
    <xf numFmtId="166" fontId="18" fillId="0" borderId="23" xfId="0" applyNumberFormat="1" applyFont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0" fontId="0" fillId="6" borderId="0" xfId="0" applyFill="1"/>
    <xf numFmtId="0" fontId="19" fillId="6" borderId="0" xfId="0" applyFont="1" applyFill="1"/>
    <xf numFmtId="44" fontId="19" fillId="6" borderId="0" xfId="0" applyNumberFormat="1" applyFont="1" applyFill="1"/>
    <xf numFmtId="10" fontId="16" fillId="0" borderId="0" xfId="0" applyNumberFormat="1" applyFont="1" applyAlignment="1">
      <alignment horizontal="right"/>
    </xf>
    <xf numFmtId="10" fontId="16" fillId="0" borderId="7" xfId="0" applyNumberFormat="1" applyFont="1" applyBorder="1" applyAlignment="1">
      <alignment horizontal="right"/>
    </xf>
    <xf numFmtId="10" fontId="15" fillId="3" borderId="3" xfId="0" applyNumberFormat="1" applyFont="1" applyFill="1" applyBorder="1"/>
    <xf numFmtId="0" fontId="15" fillId="0" borderId="24" xfId="0" applyFont="1" applyBorder="1"/>
    <xf numFmtId="44" fontId="15" fillId="0" borderId="24" xfId="0" applyNumberFormat="1" applyFont="1" applyBorder="1"/>
    <xf numFmtId="44" fontId="15" fillId="0" borderId="19" xfId="0" applyNumberFormat="1" applyFont="1" applyBorder="1"/>
    <xf numFmtId="44" fontId="15" fillId="0" borderId="3" xfId="0" applyNumberFormat="1" applyFont="1" applyBorder="1"/>
    <xf numFmtId="0" fontId="15" fillId="0" borderId="23" xfId="0" applyFont="1" applyBorder="1"/>
    <xf numFmtId="165" fontId="15" fillId="0" borderId="23" xfId="2" applyNumberFormat="1" applyFont="1" applyFill="1" applyBorder="1"/>
    <xf numFmtId="165" fontId="15" fillId="0" borderId="0" xfId="2" applyNumberFormat="1" applyFont="1" applyFill="1" applyBorder="1"/>
    <xf numFmtId="0" fontId="0" fillId="0" borderId="46" xfId="0" applyBorder="1"/>
    <xf numFmtId="0" fontId="2" fillId="0" borderId="20" xfId="0" applyFont="1" applyBorder="1" applyAlignment="1">
      <alignment horizontal="center"/>
    </xf>
    <xf numFmtId="0" fontId="0" fillId="0" borderId="21" xfId="0" applyBorder="1"/>
    <xf numFmtId="0" fontId="19" fillId="6" borderId="48" xfId="0" applyFont="1" applyFill="1" applyBorder="1"/>
    <xf numFmtId="0" fontId="19" fillId="6" borderId="49" xfId="0" applyFont="1" applyFill="1" applyBorder="1" applyAlignment="1">
      <alignment wrapText="1"/>
    </xf>
    <xf numFmtId="44" fontId="19" fillId="6" borderId="50" xfId="0" applyNumberFormat="1" applyFont="1" applyFill="1" applyBorder="1" applyAlignment="1">
      <alignment horizontal="right"/>
    </xf>
    <xf numFmtId="0" fontId="19" fillId="6" borderId="51" xfId="0" applyFont="1" applyFill="1" applyBorder="1"/>
    <xf numFmtId="44" fontId="19" fillId="6" borderId="52" xfId="0" applyNumberFormat="1" applyFont="1" applyFill="1" applyBorder="1"/>
    <xf numFmtId="44" fontId="21" fillId="0" borderId="0" xfId="0" applyNumberFormat="1" applyFont="1"/>
    <xf numFmtId="165" fontId="0" fillId="0" borderId="55" xfId="2" applyNumberFormat="1" applyFont="1" applyBorder="1"/>
    <xf numFmtId="167" fontId="0" fillId="0" borderId="28" xfId="0" applyNumberFormat="1" applyBorder="1"/>
    <xf numFmtId="167" fontId="0" fillId="0" borderId="23" xfId="0" applyNumberFormat="1" applyBorder="1"/>
    <xf numFmtId="167" fontId="0" fillId="0" borderId="26" xfId="0" applyNumberFormat="1" applyBorder="1"/>
    <xf numFmtId="0" fontId="0" fillId="0" borderId="53" xfId="0" applyBorder="1"/>
    <xf numFmtId="2" fontId="18" fillId="0" borderId="58" xfId="0" applyNumberFormat="1" applyFont="1" applyBorder="1" applyAlignment="1">
      <alignment horizontal="center" vertical="center"/>
    </xf>
    <xf numFmtId="2" fontId="18" fillId="0" borderId="59" xfId="0" applyNumberFormat="1" applyFont="1" applyBorder="1" applyAlignment="1">
      <alignment horizontal="center" vertical="center"/>
    </xf>
    <xf numFmtId="2" fontId="10" fillId="3" borderId="56" xfId="0" applyNumberFormat="1" applyFont="1" applyFill="1" applyBorder="1" applyAlignment="1">
      <alignment horizontal="center" vertical="center"/>
    </xf>
    <xf numFmtId="9" fontId="20" fillId="7" borderId="57" xfId="0" applyNumberFormat="1" applyFont="1" applyFill="1" applyBorder="1" applyAlignment="1">
      <alignment horizontal="center" vertical="center"/>
    </xf>
    <xf numFmtId="2" fontId="18" fillId="0" borderId="61" xfId="0" applyNumberFormat="1" applyFont="1" applyBorder="1" applyAlignment="1">
      <alignment horizontal="center" vertical="center"/>
    </xf>
    <xf numFmtId="2" fontId="18" fillId="0" borderId="62" xfId="0" applyNumberFormat="1" applyFont="1" applyBorder="1" applyAlignment="1">
      <alignment horizontal="center" vertical="center"/>
    </xf>
    <xf numFmtId="10" fontId="20" fillId="7" borderId="64" xfId="0" applyNumberFormat="1" applyFont="1" applyFill="1" applyBorder="1" applyAlignment="1">
      <alignment horizontal="center" vertical="center"/>
    </xf>
    <xf numFmtId="0" fontId="18" fillId="0" borderId="69" xfId="0" applyFont="1" applyBorder="1" applyAlignment="1">
      <alignment horizontal="center" vertical="center"/>
    </xf>
    <xf numFmtId="0" fontId="18" fillId="0" borderId="70" xfId="0" applyFont="1" applyBorder="1" applyAlignment="1">
      <alignment horizontal="center" vertical="center"/>
    </xf>
    <xf numFmtId="0" fontId="2" fillId="3" borderId="67" xfId="0" applyFont="1" applyFill="1" applyBorder="1" applyAlignment="1">
      <alignment vertical="center"/>
    </xf>
    <xf numFmtId="44" fontId="2" fillId="3" borderId="68" xfId="2" applyFont="1" applyFill="1" applyBorder="1" applyAlignment="1">
      <alignment vertical="center"/>
    </xf>
    <xf numFmtId="164" fontId="18" fillId="0" borderId="70" xfId="1" applyNumberFormat="1" applyFont="1" applyBorder="1" applyAlignment="1">
      <alignment horizontal="right" vertical="center"/>
    </xf>
    <xf numFmtId="0" fontId="2" fillId="3" borderId="71" xfId="0" applyFont="1" applyFill="1" applyBorder="1" applyAlignment="1">
      <alignment vertical="center"/>
    </xf>
    <xf numFmtId="44" fontId="2" fillId="3" borderId="72" xfId="2" applyFont="1" applyFill="1" applyBorder="1" applyAlignment="1">
      <alignment vertical="center"/>
    </xf>
    <xf numFmtId="9" fontId="20" fillId="7" borderId="77" xfId="0" applyNumberFormat="1" applyFont="1" applyFill="1" applyBorder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2" fontId="18" fillId="0" borderId="70" xfId="0" applyNumberFormat="1" applyFont="1" applyBorder="1" applyAlignment="1">
      <alignment horizontal="center" vertical="center"/>
    </xf>
    <xf numFmtId="2" fontId="18" fillId="0" borderId="78" xfId="0" applyNumberFormat="1" applyFont="1" applyBorder="1" applyAlignment="1">
      <alignment horizontal="center" vertical="center"/>
    </xf>
    <xf numFmtId="2" fontId="18" fillId="0" borderId="81" xfId="0" applyNumberFormat="1" applyFont="1" applyBorder="1" applyAlignment="1">
      <alignment horizontal="center" vertical="center"/>
    </xf>
    <xf numFmtId="2" fontId="18" fillId="0" borderId="82" xfId="0" applyNumberFormat="1" applyFont="1" applyBorder="1" applyAlignment="1">
      <alignment horizontal="center" vertical="center"/>
    </xf>
    <xf numFmtId="2" fontId="18" fillId="0" borderId="83" xfId="0" applyNumberFormat="1" applyFont="1" applyBorder="1" applyAlignment="1">
      <alignment horizontal="center" vertical="center"/>
    </xf>
    <xf numFmtId="44" fontId="0" fillId="0" borderId="0" xfId="0" applyNumberFormat="1"/>
    <xf numFmtId="165" fontId="0" fillId="0" borderId="54" xfId="2" applyNumberFormat="1" applyFont="1" applyBorder="1"/>
    <xf numFmtId="0" fontId="0" fillId="0" borderId="54" xfId="0" applyBorder="1"/>
    <xf numFmtId="165" fontId="0" fillId="0" borderId="86" xfId="2" applyNumberFormat="1" applyFont="1" applyBorder="1"/>
    <xf numFmtId="0" fontId="8" fillId="2" borderId="87" xfId="0" applyFont="1" applyFill="1" applyBorder="1" applyAlignment="1">
      <alignment horizontal="left"/>
    </xf>
    <xf numFmtId="0" fontId="0" fillId="0" borderId="88" xfId="0" applyBorder="1"/>
    <xf numFmtId="0" fontId="0" fillId="0" borderId="89" xfId="0" applyBorder="1"/>
    <xf numFmtId="0" fontId="0" fillId="0" borderId="90" xfId="0" applyBorder="1"/>
    <xf numFmtId="0" fontId="9" fillId="0" borderId="0" xfId="0" applyFont="1"/>
    <xf numFmtId="0" fontId="13" fillId="0" borderId="91" xfId="0" applyFont="1" applyBorder="1" applyAlignment="1">
      <alignment horizontal="center" vertical="center"/>
    </xf>
    <xf numFmtId="44" fontId="13" fillId="0" borderId="92" xfId="2" applyFont="1" applyFill="1" applyBorder="1" applyAlignment="1">
      <alignment horizontal="center" vertical="center"/>
    </xf>
    <xf numFmtId="165" fontId="2" fillId="3" borderId="36" xfId="2" applyNumberFormat="1" applyFont="1" applyFill="1" applyBorder="1"/>
    <xf numFmtId="0" fontId="2" fillId="3" borderId="93" xfId="0" applyFont="1" applyFill="1" applyBorder="1"/>
    <xf numFmtId="10" fontId="20" fillId="7" borderId="32" xfId="0" applyNumberFormat="1" applyFont="1" applyFill="1" applyBorder="1" applyAlignment="1">
      <alignment horizontal="center" vertical="center"/>
    </xf>
    <xf numFmtId="9" fontId="20" fillId="7" borderId="32" xfId="0" applyNumberFormat="1" applyFont="1" applyFill="1" applyBorder="1" applyAlignment="1">
      <alignment horizontal="center" vertical="center"/>
    </xf>
    <xf numFmtId="9" fontId="20" fillId="7" borderId="60" xfId="0" applyNumberFormat="1" applyFont="1" applyFill="1" applyBorder="1" applyAlignment="1">
      <alignment horizontal="center" vertical="center"/>
    </xf>
    <xf numFmtId="10" fontId="20" fillId="7" borderId="63" xfId="0" applyNumberFormat="1" applyFont="1" applyFill="1" applyBorder="1" applyAlignment="1">
      <alignment horizontal="center" vertical="center"/>
    </xf>
    <xf numFmtId="9" fontId="20" fillId="7" borderId="80" xfId="0" applyNumberFormat="1" applyFont="1" applyFill="1" applyBorder="1" applyAlignment="1">
      <alignment horizontal="center" vertical="center"/>
    </xf>
    <xf numFmtId="0" fontId="2" fillId="3" borderId="94" xfId="0" applyFont="1" applyFill="1" applyBorder="1"/>
    <xf numFmtId="0" fontId="2" fillId="3" borderId="95" xfId="0" applyFont="1" applyFill="1" applyBorder="1" applyAlignment="1">
      <alignment horizontal="left" vertical="center"/>
    </xf>
    <xf numFmtId="2" fontId="2" fillId="3" borderId="96" xfId="0" applyNumberFormat="1" applyFont="1" applyFill="1" applyBorder="1"/>
    <xf numFmtId="0" fontId="0" fillId="0" borderId="56" xfId="0" applyBorder="1"/>
    <xf numFmtId="2" fontId="2" fillId="3" borderId="32" xfId="0" applyNumberFormat="1" applyFont="1" applyFill="1" applyBorder="1"/>
    <xf numFmtId="0" fontId="2" fillId="3" borderId="98" xfId="0" applyFont="1" applyFill="1" applyBorder="1" applyAlignment="1">
      <alignment horizontal="left" vertical="center"/>
    </xf>
    <xf numFmtId="2" fontId="2" fillId="3" borderId="42" xfId="0" applyNumberFormat="1" applyFont="1" applyFill="1" applyBorder="1"/>
    <xf numFmtId="167" fontId="20" fillId="0" borderId="99" xfId="0" applyNumberFormat="1" applyFont="1" applyBorder="1"/>
    <xf numFmtId="0" fontId="20" fillId="0" borderId="100" xfId="0" applyFont="1" applyBorder="1"/>
    <xf numFmtId="167" fontId="20" fillId="0" borderId="53" xfId="0" applyNumberFormat="1" applyFont="1" applyBorder="1"/>
    <xf numFmtId="167" fontId="0" fillId="0" borderId="102" xfId="0" applyNumberFormat="1" applyBorder="1"/>
    <xf numFmtId="2" fontId="0" fillId="0" borderId="103" xfId="0" applyNumberFormat="1" applyBorder="1"/>
    <xf numFmtId="44" fontId="0" fillId="0" borderId="97" xfId="2" applyFont="1" applyBorder="1"/>
    <xf numFmtId="44" fontId="0" fillId="0" borderId="103" xfId="0" applyNumberFormat="1" applyBorder="1"/>
    <xf numFmtId="10" fontId="2" fillId="0" borderId="9" xfId="0" applyNumberFormat="1" applyFont="1" applyBorder="1"/>
    <xf numFmtId="0" fontId="27" fillId="2" borderId="0" xfId="0" applyFont="1" applyFill="1" applyAlignment="1">
      <alignment horizontal="center"/>
    </xf>
    <xf numFmtId="0" fontId="27" fillId="2" borderId="11" xfId="0" applyFont="1" applyFill="1" applyBorder="1" applyAlignment="1">
      <alignment horizontal="center"/>
    </xf>
    <xf numFmtId="0" fontId="27" fillId="4" borderId="0" xfId="0" applyFont="1" applyFill="1" applyAlignment="1">
      <alignment horizontal="center"/>
    </xf>
    <xf numFmtId="0" fontId="28" fillId="0" borderId="28" xfId="0" applyFont="1" applyBorder="1"/>
    <xf numFmtId="0" fontId="20" fillId="0" borderId="0" xfId="0" applyFont="1"/>
    <xf numFmtId="0" fontId="20" fillId="0" borderId="11" xfId="0" applyFont="1" applyBorder="1"/>
    <xf numFmtId="0" fontId="20" fillId="3" borderId="24" xfId="0" applyFont="1" applyFill="1" applyBorder="1" applyAlignment="1">
      <alignment horizontal="left"/>
    </xf>
    <xf numFmtId="165" fontId="20" fillId="3" borderId="24" xfId="2" applyNumberFormat="1" applyFont="1" applyFill="1" applyBorder="1"/>
    <xf numFmtId="165" fontId="20" fillId="3" borderId="14" xfId="2" applyNumberFormat="1" applyFont="1" applyFill="1" applyBorder="1"/>
    <xf numFmtId="165" fontId="20" fillId="3" borderId="16" xfId="2" applyNumberFormat="1" applyFont="1" applyFill="1" applyBorder="1"/>
    <xf numFmtId="165" fontId="20" fillId="3" borderId="19" xfId="2" applyNumberFormat="1" applyFont="1" applyFill="1" applyBorder="1"/>
    <xf numFmtId="165" fontId="20" fillId="3" borderId="3" xfId="2" applyNumberFormat="1" applyFont="1" applyFill="1" applyBorder="1"/>
    <xf numFmtId="0" fontId="28" fillId="0" borderId="0" xfId="0" applyFont="1"/>
    <xf numFmtId="0" fontId="20" fillId="3" borderId="24" xfId="0" applyFont="1" applyFill="1" applyBorder="1"/>
    <xf numFmtId="0" fontId="20" fillId="3" borderId="26" xfId="0" applyFont="1" applyFill="1" applyBorder="1"/>
    <xf numFmtId="165" fontId="20" fillId="3" borderId="26" xfId="2" applyNumberFormat="1" applyFont="1" applyFill="1" applyBorder="1"/>
    <xf numFmtId="165" fontId="20" fillId="3" borderId="10" xfId="2" applyNumberFormat="1" applyFont="1" applyFill="1" applyBorder="1"/>
    <xf numFmtId="165" fontId="20" fillId="3" borderId="25" xfId="2" applyNumberFormat="1" applyFont="1" applyFill="1" applyBorder="1"/>
    <xf numFmtId="165" fontId="20" fillId="3" borderId="7" xfId="2" applyNumberFormat="1" applyFont="1" applyFill="1" applyBorder="1"/>
    <xf numFmtId="0" fontId="29" fillId="0" borderId="23" xfId="0" applyFont="1" applyBorder="1" applyAlignment="1">
      <alignment horizontal="center"/>
    </xf>
    <xf numFmtId="10" fontId="29" fillId="0" borderId="23" xfId="0" applyNumberFormat="1" applyFont="1" applyBorder="1" applyAlignment="1">
      <alignment horizontal="right"/>
    </xf>
    <xf numFmtId="10" fontId="29" fillId="0" borderId="11" xfId="0" applyNumberFormat="1" applyFont="1" applyBorder="1" applyAlignment="1">
      <alignment horizontal="right"/>
    </xf>
    <xf numFmtId="10" fontId="29" fillId="0" borderId="18" xfId="3" applyNumberFormat="1" applyFont="1" applyBorder="1" applyAlignment="1">
      <alignment horizontal="right"/>
    </xf>
    <xf numFmtId="10" fontId="29" fillId="0" borderId="40" xfId="0" applyNumberFormat="1" applyFont="1" applyBorder="1" applyAlignment="1">
      <alignment horizontal="right"/>
    </xf>
    <xf numFmtId="0" fontId="29" fillId="0" borderId="26" xfId="0" applyFont="1" applyBorder="1" applyAlignment="1">
      <alignment horizontal="center"/>
    </xf>
    <xf numFmtId="10" fontId="29" fillId="0" borderId="26" xfId="0" applyNumberFormat="1" applyFont="1" applyBorder="1" applyAlignment="1">
      <alignment horizontal="right"/>
    </xf>
    <xf numFmtId="10" fontId="29" fillId="0" borderId="10" xfId="0" applyNumberFormat="1" applyFont="1" applyBorder="1" applyAlignment="1">
      <alignment horizontal="right"/>
    </xf>
    <xf numFmtId="10" fontId="29" fillId="0" borderId="25" xfId="0" applyNumberFormat="1" applyFont="1" applyBorder="1" applyAlignment="1">
      <alignment horizontal="right"/>
    </xf>
    <xf numFmtId="10" fontId="29" fillId="0" borderId="7" xfId="0" applyNumberFormat="1" applyFont="1" applyBorder="1" applyAlignment="1">
      <alignment horizontal="right"/>
    </xf>
    <xf numFmtId="0" fontId="30" fillId="0" borderId="8" xfId="0" applyFont="1" applyBorder="1"/>
    <xf numFmtId="9" fontId="30" fillId="0" borderId="9" xfId="0" applyNumberFormat="1" applyFont="1" applyBorder="1"/>
    <xf numFmtId="0" fontId="33" fillId="0" borderId="31" xfId="0" applyFont="1" applyBorder="1"/>
    <xf numFmtId="0" fontId="33" fillId="0" borderId="32" xfId="0" applyFont="1" applyBorder="1"/>
    <xf numFmtId="10" fontId="33" fillId="0" borderId="32" xfId="0" applyNumberFormat="1" applyFont="1" applyBorder="1"/>
    <xf numFmtId="0" fontId="33" fillId="0" borderId="105" xfId="0" applyFont="1" applyBorder="1"/>
    <xf numFmtId="8" fontId="33" fillId="0" borderId="106" xfId="0" applyNumberFormat="1" applyFont="1" applyBorder="1"/>
    <xf numFmtId="0" fontId="34" fillId="0" borderId="23" xfId="0" applyFont="1" applyBorder="1" applyAlignment="1">
      <alignment horizontal="center"/>
    </xf>
    <xf numFmtId="165" fontId="34" fillId="0" borderId="23" xfId="2" applyNumberFormat="1" applyFont="1" applyBorder="1"/>
    <xf numFmtId="165" fontId="34" fillId="0" borderId="11" xfId="2" applyNumberFormat="1" applyFont="1" applyBorder="1"/>
    <xf numFmtId="165" fontId="34" fillId="0" borderId="18" xfId="2" applyNumberFormat="1" applyFont="1" applyBorder="1"/>
    <xf numFmtId="165" fontId="34" fillId="0" borderId="21" xfId="2" applyNumberFormat="1" applyFont="1" applyBorder="1"/>
    <xf numFmtId="165" fontId="34" fillId="0" borderId="0" xfId="2" applyNumberFormat="1" applyFont="1"/>
    <xf numFmtId="0" fontId="34" fillId="0" borderId="55" xfId="0" applyFont="1" applyBorder="1"/>
    <xf numFmtId="165" fontId="34" fillId="0" borderId="55" xfId="2" applyNumberFormat="1" applyFont="1" applyBorder="1"/>
    <xf numFmtId="165" fontId="34" fillId="0" borderId="107" xfId="2" applyNumberFormat="1" applyFont="1" applyBorder="1"/>
    <xf numFmtId="165" fontId="34" fillId="0" borderId="108" xfId="2" applyNumberFormat="1" applyFont="1" applyBorder="1"/>
    <xf numFmtId="165" fontId="34" fillId="0" borderId="54" xfId="2" applyNumberFormat="1" applyFont="1" applyBorder="1"/>
    <xf numFmtId="0" fontId="34" fillId="0" borderId="26" xfId="0" applyFont="1" applyBorder="1" applyAlignment="1">
      <alignment horizontal="center"/>
    </xf>
    <xf numFmtId="165" fontId="34" fillId="0" borderId="26" xfId="2" applyNumberFormat="1" applyFont="1" applyBorder="1"/>
    <xf numFmtId="165" fontId="34" fillId="0" borderId="10" xfId="2" applyNumberFormat="1" applyFont="1" applyBorder="1"/>
    <xf numFmtId="165" fontId="34" fillId="0" borderId="25" xfId="2" applyNumberFormat="1" applyFont="1" applyBorder="1"/>
    <xf numFmtId="165" fontId="34" fillId="0" borderId="7" xfId="2" applyNumberFormat="1" applyFont="1" applyBorder="1"/>
    <xf numFmtId="0" fontId="19" fillId="0" borderId="9" xfId="0" applyFont="1" applyBorder="1"/>
    <xf numFmtId="0" fontId="19" fillId="0" borderId="6" xfId="0" applyFont="1" applyBorder="1" applyAlignment="1">
      <alignment horizontal="right"/>
    </xf>
    <xf numFmtId="0" fontId="19" fillId="0" borderId="32" xfId="0" applyFont="1" applyBorder="1"/>
    <xf numFmtId="10" fontId="19" fillId="0" borderId="0" xfId="0" applyNumberFormat="1" applyFont="1"/>
    <xf numFmtId="10" fontId="19" fillId="0" borderId="0" xfId="0" applyNumberFormat="1" applyFont="1" applyAlignment="1">
      <alignment horizontal="right"/>
    </xf>
    <xf numFmtId="0" fontId="19" fillId="0" borderId="42" xfId="0" applyFont="1" applyBorder="1"/>
    <xf numFmtId="10" fontId="19" fillId="0" borderId="4" xfId="0" applyNumberFormat="1" applyFont="1" applyBorder="1"/>
    <xf numFmtId="0" fontId="19" fillId="0" borderId="34" xfId="0" applyFont="1" applyBorder="1"/>
    <xf numFmtId="10" fontId="19" fillId="0" borderId="7" xfId="0" applyNumberFormat="1" applyFont="1" applyBorder="1" applyAlignment="1">
      <alignment horizontal="right"/>
    </xf>
    <xf numFmtId="9" fontId="19" fillId="0" borderId="7" xfId="0" applyNumberFormat="1" applyFont="1" applyBorder="1"/>
    <xf numFmtId="9" fontId="19" fillId="0" borderId="0" xfId="0" applyNumberFormat="1" applyFont="1"/>
    <xf numFmtId="0" fontId="35" fillId="3" borderId="43" xfId="0" applyFont="1" applyFill="1" applyBorder="1"/>
    <xf numFmtId="10" fontId="35" fillId="3" borderId="3" xfId="0" applyNumberFormat="1" applyFont="1" applyFill="1" applyBorder="1"/>
    <xf numFmtId="0" fontId="36" fillId="0" borderId="28" xfId="0" applyFont="1" applyBorder="1" applyAlignment="1">
      <alignment horizontal="center"/>
    </xf>
    <xf numFmtId="0" fontId="36" fillId="0" borderId="45" xfId="0" applyFont="1" applyBorder="1" applyAlignment="1">
      <alignment horizontal="center"/>
    </xf>
    <xf numFmtId="0" fontId="36" fillId="0" borderId="44" xfId="0" applyFont="1" applyBorder="1" applyAlignment="1">
      <alignment horizontal="center"/>
    </xf>
    <xf numFmtId="0" fontId="36" fillId="0" borderId="0" xfId="0" applyFont="1" applyAlignment="1">
      <alignment horizontal="center"/>
    </xf>
    <xf numFmtId="0" fontId="24" fillId="2" borderId="0" xfId="0" applyFont="1" applyFill="1" applyAlignment="1">
      <alignment horizontal="center"/>
    </xf>
    <xf numFmtId="0" fontId="35" fillId="0" borderId="23" xfId="0" applyFont="1" applyBorder="1"/>
    <xf numFmtId="165" fontId="35" fillId="0" borderId="23" xfId="2" applyNumberFormat="1" applyFont="1" applyBorder="1"/>
    <xf numFmtId="165" fontId="35" fillId="0" borderId="0" xfId="2" applyNumberFormat="1" applyFont="1"/>
    <xf numFmtId="0" fontId="37" fillId="0" borderId="23" xfId="0" applyFont="1" applyBorder="1" applyAlignment="1">
      <alignment horizontal="center" vertical="center"/>
    </xf>
    <xf numFmtId="166" fontId="37" fillId="0" borderId="23" xfId="0" applyNumberFormat="1" applyFont="1" applyBorder="1" applyAlignment="1">
      <alignment horizontal="center" vertical="center"/>
    </xf>
    <xf numFmtId="166" fontId="37" fillId="0" borderId="0" xfId="0" applyNumberFormat="1" applyFont="1" applyAlignment="1">
      <alignment horizontal="center" vertical="center"/>
    </xf>
    <xf numFmtId="0" fontId="35" fillId="0" borderId="24" xfId="0" applyFont="1" applyBorder="1"/>
    <xf numFmtId="44" fontId="35" fillId="0" borderId="24" xfId="0" applyNumberFormat="1" applyFont="1" applyBorder="1"/>
    <xf numFmtId="44" fontId="35" fillId="0" borderId="19" xfId="0" applyNumberFormat="1" applyFont="1" applyBorder="1"/>
    <xf numFmtId="44" fontId="35" fillId="0" borderId="3" xfId="0" applyNumberFormat="1" applyFont="1" applyBorder="1"/>
    <xf numFmtId="0" fontId="20" fillId="3" borderId="67" xfId="0" applyFont="1" applyFill="1" applyBorder="1" applyAlignment="1">
      <alignment vertical="center"/>
    </xf>
    <xf numFmtId="44" fontId="20" fillId="3" borderId="68" xfId="2" applyFont="1" applyFill="1" applyBorder="1" applyAlignment="1">
      <alignment vertical="center"/>
    </xf>
    <xf numFmtId="0" fontId="37" fillId="0" borderId="69" xfId="0" applyFont="1" applyBorder="1" applyAlignment="1">
      <alignment horizontal="center" vertical="center"/>
    </xf>
    <xf numFmtId="0" fontId="37" fillId="0" borderId="70" xfId="0" applyFont="1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44" fontId="0" fillId="0" borderId="92" xfId="2" applyFont="1" applyBorder="1" applyAlignment="1">
      <alignment horizontal="center" vertical="center"/>
    </xf>
    <xf numFmtId="164" fontId="37" fillId="0" borderId="70" xfId="1" applyNumberFormat="1" applyFont="1" applyBorder="1" applyAlignment="1">
      <alignment horizontal="right" vertical="center"/>
    </xf>
    <xf numFmtId="0" fontId="20" fillId="3" borderId="71" xfId="0" applyFont="1" applyFill="1" applyBorder="1" applyAlignment="1">
      <alignment vertical="center"/>
    </xf>
    <xf numFmtId="44" fontId="20" fillId="3" borderId="72" xfId="2" applyFont="1" applyFill="1" applyBorder="1" applyAlignment="1">
      <alignment vertical="center"/>
    </xf>
    <xf numFmtId="2" fontId="37" fillId="0" borderId="0" xfId="0" applyNumberFormat="1" applyFont="1" applyAlignment="1">
      <alignment horizontal="center" vertical="center"/>
    </xf>
    <xf numFmtId="2" fontId="37" fillId="0" borderId="58" xfId="0" applyNumberFormat="1" applyFont="1" applyBorder="1" applyAlignment="1">
      <alignment horizontal="center" vertical="center"/>
    </xf>
    <xf numFmtId="2" fontId="37" fillId="0" borderId="70" xfId="0" applyNumberFormat="1" applyFont="1" applyBorder="1" applyAlignment="1">
      <alignment horizontal="center" vertical="center"/>
    </xf>
    <xf numFmtId="2" fontId="37" fillId="0" borderId="62" xfId="0" applyNumberFormat="1" applyFont="1" applyBorder="1" applyAlignment="1">
      <alignment horizontal="center" vertical="center"/>
    </xf>
    <xf numFmtId="2" fontId="37" fillId="0" borderId="59" xfId="0" applyNumberFormat="1" applyFont="1" applyBorder="1" applyAlignment="1">
      <alignment horizontal="center" vertical="center"/>
    </xf>
    <xf numFmtId="2" fontId="37" fillId="0" borderId="61" xfId="0" applyNumberFormat="1" applyFont="1" applyBorder="1" applyAlignment="1">
      <alignment horizontal="center" vertical="center"/>
    </xf>
    <xf numFmtId="2" fontId="28" fillId="3" borderId="56" xfId="0" applyNumberFormat="1" applyFont="1" applyFill="1" applyBorder="1" applyAlignment="1">
      <alignment horizontal="center" vertical="center"/>
    </xf>
    <xf numFmtId="2" fontId="37" fillId="0" borderId="78" xfId="0" applyNumberFormat="1" applyFont="1" applyBorder="1" applyAlignment="1">
      <alignment horizontal="center" vertical="center"/>
    </xf>
    <xf numFmtId="2" fontId="37" fillId="0" borderId="81" xfId="0" applyNumberFormat="1" applyFont="1" applyBorder="1" applyAlignment="1">
      <alignment horizontal="center" vertical="center"/>
    </xf>
    <xf numFmtId="2" fontId="37" fillId="0" borderId="82" xfId="0" applyNumberFormat="1" applyFont="1" applyBorder="1" applyAlignment="1">
      <alignment horizontal="center" vertical="center"/>
    </xf>
    <xf numFmtId="2" fontId="37" fillId="0" borderId="83" xfId="0" applyNumberFormat="1" applyFont="1" applyBorder="1" applyAlignment="1">
      <alignment horizontal="center" vertical="center"/>
    </xf>
    <xf numFmtId="0" fontId="14" fillId="2" borderId="69" xfId="0" applyFont="1" applyFill="1" applyBorder="1" applyAlignment="1">
      <alignment horizontal="center" vertical="center" textRotation="90"/>
    </xf>
    <xf numFmtId="0" fontId="14" fillId="2" borderId="76" xfId="0" applyFont="1" applyFill="1" applyBorder="1" applyAlignment="1">
      <alignment horizontal="center" vertical="center" textRotation="90"/>
    </xf>
    <xf numFmtId="0" fontId="14" fillId="2" borderId="79" xfId="0" applyFont="1" applyFill="1" applyBorder="1" applyAlignment="1">
      <alignment horizontal="center" vertical="center" textRotation="90"/>
    </xf>
    <xf numFmtId="0" fontId="22" fillId="5" borderId="65" xfId="0" applyFont="1" applyFill="1" applyBorder="1" applyAlignment="1">
      <alignment horizontal="center" vertical="center" wrapText="1"/>
    </xf>
    <xf numFmtId="0" fontId="22" fillId="5" borderId="73" xfId="0" applyFont="1" applyFill="1" applyBorder="1" applyAlignment="1">
      <alignment horizontal="center" vertical="center" wrapText="1"/>
    </xf>
    <xf numFmtId="0" fontId="22" fillId="5" borderId="74" xfId="0" applyFont="1" applyFill="1" applyBorder="1" applyAlignment="1">
      <alignment horizontal="center" vertical="center" wrapText="1"/>
    </xf>
    <xf numFmtId="0" fontId="22" fillId="5" borderId="66" xfId="0" applyFont="1" applyFill="1" applyBorder="1" applyAlignment="1">
      <alignment horizontal="center" vertical="center" wrapText="1"/>
    </xf>
    <xf numFmtId="2" fontId="22" fillId="0" borderId="85" xfId="0" applyNumberFormat="1" applyFont="1" applyBorder="1" applyAlignment="1">
      <alignment horizontal="center" vertical="center"/>
    </xf>
    <xf numFmtId="2" fontId="22" fillId="0" borderId="83" xfId="0" applyNumberFormat="1" applyFont="1" applyBorder="1" applyAlignment="1">
      <alignment horizontal="center" vertical="center"/>
    </xf>
    <xf numFmtId="0" fontId="25" fillId="0" borderId="65" xfId="0" applyFont="1" applyBorder="1" applyAlignment="1">
      <alignment horizontal="center"/>
    </xf>
    <xf numFmtId="0" fontId="25" fillId="0" borderId="84" xfId="0" applyFont="1" applyBorder="1" applyAlignment="1">
      <alignment horizontal="center"/>
    </xf>
    <xf numFmtId="0" fontId="0" fillId="0" borderId="23" xfId="0" applyBorder="1" applyAlignment="1">
      <alignment horizontal="right" vertical="center"/>
    </xf>
    <xf numFmtId="0" fontId="15" fillId="5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0" fillId="0" borderId="21" xfId="0" applyBorder="1" applyAlignment="1">
      <alignment horizontal="left"/>
    </xf>
    <xf numFmtId="0" fontId="0" fillId="0" borderId="23" xfId="0" applyBorder="1" applyAlignment="1">
      <alignment horizontal="left"/>
    </xf>
    <xf numFmtId="0" fontId="24" fillId="2" borderId="54" xfId="0" applyFont="1" applyFill="1" applyBorder="1" applyAlignment="1">
      <alignment horizontal="center"/>
    </xf>
    <xf numFmtId="0" fontId="14" fillId="2" borderId="54" xfId="0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0" fontId="14" fillId="2" borderId="75" xfId="0" applyFont="1" applyFill="1" applyBorder="1" applyAlignment="1">
      <alignment horizontal="center"/>
    </xf>
    <xf numFmtId="0" fontId="15" fillId="5" borderId="110" xfId="0" applyFont="1" applyFill="1" applyBorder="1" applyAlignment="1">
      <alignment horizontal="center" vertical="center"/>
    </xf>
    <xf numFmtId="0" fontId="15" fillId="5" borderId="66" xfId="0" applyFont="1" applyFill="1" applyBorder="1" applyAlignment="1">
      <alignment horizontal="center" vertical="center"/>
    </xf>
    <xf numFmtId="0" fontId="15" fillId="5" borderId="39" xfId="0" applyFont="1" applyFill="1" applyBorder="1" applyAlignment="1">
      <alignment horizontal="center" vertical="center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6" xfId="0" applyBorder="1" applyAlignment="1">
      <alignment horizontal="left" wrapText="1"/>
    </xf>
    <xf numFmtId="0" fontId="0" fillId="0" borderId="23" xfId="0" applyBorder="1" applyAlignment="1">
      <alignment horizontal="left" wrapText="1"/>
    </xf>
    <xf numFmtId="0" fontId="2" fillId="5" borderId="8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5" borderId="35" xfId="0" applyFont="1" applyFill="1" applyBorder="1" applyAlignment="1">
      <alignment horizontal="center"/>
    </xf>
    <xf numFmtId="0" fontId="2" fillId="5" borderId="36" xfId="0" applyFont="1" applyFill="1" applyBorder="1" applyAlignment="1">
      <alignment horizontal="center"/>
    </xf>
    <xf numFmtId="0" fontId="0" fillId="0" borderId="22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9" fontId="9" fillId="0" borderId="4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3" fillId="5" borderId="8" xfId="0" applyFont="1" applyFill="1" applyBorder="1" applyAlignment="1">
      <alignment horizontal="center" vertical="center"/>
    </xf>
    <xf numFmtId="0" fontId="23" fillId="5" borderId="6" xfId="0" applyFont="1" applyFill="1" applyBorder="1" applyAlignment="1">
      <alignment horizontal="center" vertical="center"/>
    </xf>
    <xf numFmtId="0" fontId="23" fillId="5" borderId="9" xfId="0" applyFont="1" applyFill="1" applyBorder="1" applyAlignment="1">
      <alignment horizontal="center" vertical="center"/>
    </xf>
    <xf numFmtId="0" fontId="0" fillId="0" borderId="10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6" xfId="0" applyBorder="1" applyAlignment="1">
      <alignment horizontal="center"/>
    </xf>
    <xf numFmtId="0" fontId="31" fillId="5" borderId="8" xfId="0" applyFont="1" applyFill="1" applyBorder="1" applyAlignment="1">
      <alignment horizontal="center" vertical="center"/>
    </xf>
    <xf numFmtId="0" fontId="20" fillId="5" borderId="6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31" fillId="8" borderId="35" xfId="0" applyFont="1" applyFill="1" applyBorder="1"/>
    <xf numFmtId="0" fontId="31" fillId="8" borderId="104" xfId="0" applyFont="1" applyFill="1" applyBorder="1"/>
    <xf numFmtId="0" fontId="35" fillId="5" borderId="6" xfId="0" applyFont="1" applyFill="1" applyBorder="1" applyAlignment="1">
      <alignment horizontal="center" vertical="center"/>
    </xf>
    <xf numFmtId="0" fontId="35" fillId="5" borderId="39" xfId="0" applyFont="1" applyFill="1" applyBorder="1" applyAlignment="1">
      <alignment horizontal="center" vertical="center"/>
    </xf>
    <xf numFmtId="0" fontId="35" fillId="5" borderId="109" xfId="0" applyFont="1" applyFill="1" applyBorder="1" applyAlignment="1">
      <alignment horizontal="center" vertical="center"/>
    </xf>
    <xf numFmtId="0" fontId="35" fillId="5" borderId="99" xfId="0" applyFont="1" applyFill="1" applyBorder="1" applyAlignment="1">
      <alignment horizontal="center" vertical="center"/>
    </xf>
    <xf numFmtId="0" fontId="38" fillId="0" borderId="65" xfId="0" applyFont="1" applyBorder="1" applyAlignment="1">
      <alignment horizontal="center"/>
    </xf>
    <xf numFmtId="0" fontId="38" fillId="0" borderId="84" xfId="0" applyFont="1" applyBorder="1" applyAlignment="1">
      <alignment horizontal="center"/>
    </xf>
    <xf numFmtId="0" fontId="24" fillId="2" borderId="0" xfId="0" applyFont="1" applyFill="1" applyAlignment="1">
      <alignment horizontal="center"/>
    </xf>
    <xf numFmtId="0" fontId="24" fillId="2" borderId="75" xfId="0" applyFont="1" applyFill="1" applyBorder="1" applyAlignment="1">
      <alignment horizontal="center"/>
    </xf>
    <xf numFmtId="0" fontId="24" fillId="2" borderId="69" xfId="0" applyFont="1" applyFill="1" applyBorder="1" applyAlignment="1">
      <alignment horizontal="center" vertical="center" textRotation="90"/>
    </xf>
    <xf numFmtId="0" fontId="24" fillId="2" borderId="76" xfId="0" applyFont="1" applyFill="1" applyBorder="1" applyAlignment="1">
      <alignment horizontal="center" vertical="center" textRotation="90"/>
    </xf>
    <xf numFmtId="0" fontId="24" fillId="2" borderId="79" xfId="0" applyFont="1" applyFill="1" applyBorder="1" applyAlignment="1">
      <alignment horizontal="center" vertical="center" textRotation="90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FF9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A9DBD-0C1A-3945-B9A8-1C47786B5572}">
  <dimension ref="B1:G25"/>
  <sheetViews>
    <sheetView showGridLines="0" tabSelected="1" zoomScale="150" zoomScaleNormal="130" workbookViewId="0">
      <selection activeCell="K19" sqref="K19"/>
    </sheetView>
  </sheetViews>
  <sheetFormatPr baseColWidth="10" defaultColWidth="11" defaultRowHeight="16" x14ac:dyDescent="0.2"/>
  <cols>
    <col min="1" max="1" width="2.6640625" customWidth="1"/>
    <col min="2" max="2" width="39.33203125" customWidth="1"/>
    <col min="3" max="7" width="12.6640625" customWidth="1"/>
    <col min="8" max="12" width="8.1640625" bestFit="1" customWidth="1"/>
  </cols>
  <sheetData>
    <row r="1" spans="2:7" ht="16" customHeight="1" thickBot="1" x14ac:dyDescent="0.25"/>
    <row r="2" spans="2:7" ht="16" customHeight="1" thickBot="1" x14ac:dyDescent="0.25">
      <c r="B2" s="389" t="s">
        <v>0</v>
      </c>
      <c r="C2" s="390"/>
      <c r="D2" s="390"/>
      <c r="E2" s="390"/>
      <c r="F2" s="390"/>
      <c r="G2" s="391"/>
    </row>
    <row r="3" spans="2:7" ht="16" customHeight="1" x14ac:dyDescent="0.2"/>
    <row r="4" spans="2:7" x14ac:dyDescent="0.2">
      <c r="B4" s="7" t="s">
        <v>1</v>
      </c>
      <c r="C4" s="7">
        <v>2003</v>
      </c>
      <c r="D4" s="7">
        <v>2004</v>
      </c>
      <c r="E4" s="7">
        <v>2005</v>
      </c>
      <c r="F4" s="7">
        <v>2006</v>
      </c>
      <c r="G4" s="7">
        <v>2007</v>
      </c>
    </row>
    <row r="5" spans="2:7" x14ac:dyDescent="0.2">
      <c r="B5" s="156" t="s">
        <v>2</v>
      </c>
      <c r="C5" s="102">
        <v>3069.09</v>
      </c>
      <c r="D5" s="102">
        <v>3648.59</v>
      </c>
      <c r="E5" s="102">
        <v>4159.3100000000004</v>
      </c>
      <c r="F5" s="102">
        <v>4686.01</v>
      </c>
      <c r="G5" s="2">
        <v>5389.1</v>
      </c>
    </row>
    <row r="6" spans="2:7" x14ac:dyDescent="0.2">
      <c r="B6" s="157" t="s">
        <v>3</v>
      </c>
      <c r="C6" s="103">
        <v>1792.35</v>
      </c>
      <c r="D6" s="103">
        <v>2038.61</v>
      </c>
      <c r="E6" s="103">
        <v>2255.9</v>
      </c>
      <c r="F6" s="103">
        <v>2429.8200000000002</v>
      </c>
      <c r="G6" s="2">
        <v>2840.78</v>
      </c>
    </row>
    <row r="7" spans="2:7" x14ac:dyDescent="0.2">
      <c r="B7" s="157" t="s">
        <v>4</v>
      </c>
      <c r="C7" s="103">
        <v>205.65</v>
      </c>
      <c r="D7" s="103">
        <v>227.54</v>
      </c>
      <c r="E7" s="103">
        <v>237.41</v>
      </c>
      <c r="F7" s="103">
        <v>239.67</v>
      </c>
      <c r="G7" s="2">
        <v>300.16000000000003</v>
      </c>
    </row>
    <row r="8" spans="2:7" ht="17" thickBot="1" x14ac:dyDescent="0.25">
      <c r="B8" s="158" t="s">
        <v>5</v>
      </c>
      <c r="C8" s="113">
        <v>445.89</v>
      </c>
      <c r="D8" s="113">
        <v>492.95</v>
      </c>
      <c r="E8" s="113">
        <v>517.25</v>
      </c>
      <c r="F8" s="113">
        <v>529.38</v>
      </c>
      <c r="G8" s="114">
        <v>632.01</v>
      </c>
    </row>
    <row r="9" spans="2:7" ht="18" thickTop="1" thickBot="1" x14ac:dyDescent="0.25">
      <c r="B9" s="159" t="s">
        <v>6</v>
      </c>
      <c r="C9" s="104">
        <v>1.59</v>
      </c>
      <c r="D9" s="104">
        <v>1.75</v>
      </c>
      <c r="E9" s="104">
        <v>1.83</v>
      </c>
      <c r="F9" s="104">
        <v>1.9</v>
      </c>
      <c r="G9" s="3">
        <v>2.2799999999999998</v>
      </c>
    </row>
    <row r="10" spans="2:7" ht="16" customHeight="1" thickBot="1" x14ac:dyDescent="0.25">
      <c r="B10" s="10"/>
      <c r="C10" s="11"/>
      <c r="D10" s="11"/>
      <c r="E10" s="11"/>
      <c r="F10" s="11"/>
      <c r="G10" s="11"/>
    </row>
    <row r="11" spans="2:7" x14ac:dyDescent="0.2">
      <c r="B11" s="8" t="s">
        <v>7</v>
      </c>
      <c r="C11" s="7">
        <v>2003</v>
      </c>
      <c r="D11" s="7">
        <v>2004</v>
      </c>
      <c r="E11" s="7">
        <v>2005</v>
      </c>
      <c r="F11" s="7">
        <v>2006</v>
      </c>
      <c r="G11" s="7">
        <v>2007</v>
      </c>
    </row>
    <row r="12" spans="2:7" x14ac:dyDescent="0.2">
      <c r="B12" s="160" t="s">
        <v>8</v>
      </c>
      <c r="C12" s="102">
        <v>0.69</v>
      </c>
      <c r="D12" s="102">
        <v>0.74</v>
      </c>
      <c r="E12" s="102">
        <v>0.86</v>
      </c>
      <c r="F12" s="102">
        <v>0.99</v>
      </c>
      <c r="G12" s="22">
        <v>1.1299999999999999</v>
      </c>
    </row>
    <row r="13" spans="2:7" x14ac:dyDescent="0.2">
      <c r="B13" s="161" t="s">
        <v>9</v>
      </c>
      <c r="C13" s="105">
        <v>0.44</v>
      </c>
      <c r="D13" s="105">
        <v>0.42</v>
      </c>
      <c r="E13" s="105">
        <v>0.47</v>
      </c>
      <c r="F13" s="105">
        <v>0.52</v>
      </c>
      <c r="G13" s="23">
        <v>0.49</v>
      </c>
    </row>
    <row r="14" spans="2:7" ht="17" thickBot="1" x14ac:dyDescent="0.25">
      <c r="B14" s="162" t="s">
        <v>10</v>
      </c>
      <c r="C14" s="106">
        <v>281204</v>
      </c>
      <c r="D14" s="107">
        <v>280796</v>
      </c>
      <c r="E14" s="107">
        <v>280964</v>
      </c>
      <c r="F14" s="107">
        <v>277556</v>
      </c>
      <c r="G14" s="24">
        <v>275357</v>
      </c>
    </row>
    <row r="15" spans="2:7" ht="16" customHeight="1" thickBot="1" x14ac:dyDescent="0.25">
      <c r="B15" s="4"/>
      <c r="C15" s="5"/>
      <c r="D15" s="5"/>
      <c r="E15" s="5"/>
      <c r="F15" s="5"/>
      <c r="G15" s="5"/>
    </row>
    <row r="16" spans="2:7" x14ac:dyDescent="0.2">
      <c r="B16" s="9" t="s">
        <v>11</v>
      </c>
      <c r="C16" s="9">
        <v>2003</v>
      </c>
      <c r="D16" s="9">
        <v>2004</v>
      </c>
      <c r="E16" s="9">
        <v>2005</v>
      </c>
      <c r="F16" s="9">
        <v>2006</v>
      </c>
      <c r="G16" s="9">
        <v>2007</v>
      </c>
    </row>
    <row r="17" spans="2:7" x14ac:dyDescent="0.2">
      <c r="B17" s="156" t="s">
        <v>12</v>
      </c>
      <c r="C17" s="102">
        <v>956.18</v>
      </c>
      <c r="D17" s="102">
        <v>1142.6199999999999</v>
      </c>
      <c r="E17" s="102">
        <v>1282.4100000000001</v>
      </c>
      <c r="F17" s="102">
        <v>1422.52</v>
      </c>
      <c r="G17" s="2">
        <v>1560.06</v>
      </c>
    </row>
    <row r="18" spans="2:7" x14ac:dyDescent="0.2">
      <c r="B18" s="163" t="s">
        <v>13</v>
      </c>
      <c r="C18" s="115">
        <v>2520.41</v>
      </c>
      <c r="D18" s="115">
        <v>3166.7</v>
      </c>
      <c r="E18" s="115">
        <v>4460.2</v>
      </c>
      <c r="F18" s="115">
        <v>4661.6000000000004</v>
      </c>
      <c r="G18" s="116">
        <v>5231.51</v>
      </c>
    </row>
    <row r="19" spans="2:7" x14ac:dyDescent="0.2">
      <c r="B19" s="157" t="s">
        <v>14</v>
      </c>
      <c r="C19" s="103">
        <v>825.8</v>
      </c>
      <c r="D19" s="103">
        <v>787.94</v>
      </c>
      <c r="E19" s="103">
        <v>325.27999999999997</v>
      </c>
      <c r="F19" s="103">
        <v>454.1</v>
      </c>
      <c r="G19" s="2">
        <v>448.66</v>
      </c>
    </row>
    <row r="20" spans="2:7" x14ac:dyDescent="0.2">
      <c r="B20" s="163" t="s">
        <v>15</v>
      </c>
      <c r="C20" s="115">
        <v>0</v>
      </c>
      <c r="D20" s="115">
        <v>90</v>
      </c>
      <c r="E20" s="115">
        <v>1100</v>
      </c>
      <c r="F20" s="115">
        <v>1065</v>
      </c>
      <c r="G20" s="117">
        <v>1000</v>
      </c>
    </row>
    <row r="21" spans="2:7" x14ac:dyDescent="0.2">
      <c r="B21" s="157" t="s">
        <v>16</v>
      </c>
      <c r="C21" s="103">
        <v>1820.82</v>
      </c>
      <c r="D21" s="103">
        <v>2178.6799999999998</v>
      </c>
      <c r="E21" s="103">
        <v>2214.42</v>
      </c>
      <c r="F21" s="103">
        <v>2388.09</v>
      </c>
      <c r="G21" s="2">
        <v>2817.48</v>
      </c>
    </row>
    <row r="22" spans="2:7" x14ac:dyDescent="0.2">
      <c r="B22" s="156" t="s">
        <v>17</v>
      </c>
      <c r="C22" s="108">
        <v>0.24</v>
      </c>
      <c r="D22" s="108">
        <v>0.23</v>
      </c>
      <c r="E22" s="108">
        <v>0.23</v>
      </c>
      <c r="F22" s="108">
        <v>0.22</v>
      </c>
      <c r="G22" s="16">
        <v>0.22</v>
      </c>
    </row>
    <row r="23" spans="2:7" x14ac:dyDescent="0.2">
      <c r="B23" s="157" t="s">
        <v>18</v>
      </c>
      <c r="C23" s="109">
        <v>40379</v>
      </c>
      <c r="D23" s="109">
        <v>40779</v>
      </c>
      <c r="E23" s="109">
        <v>40545</v>
      </c>
      <c r="F23" s="109">
        <v>40986</v>
      </c>
      <c r="G23" s="12">
        <v>41020</v>
      </c>
    </row>
    <row r="24" spans="2:7" x14ac:dyDescent="0.2">
      <c r="B24" s="164" t="s">
        <v>19</v>
      </c>
      <c r="C24" s="110">
        <v>12000</v>
      </c>
      <c r="D24" s="110">
        <v>14800</v>
      </c>
      <c r="E24" s="110">
        <v>14300</v>
      </c>
      <c r="F24" s="110">
        <v>15800</v>
      </c>
      <c r="G24" s="15">
        <v>16400</v>
      </c>
    </row>
    <row r="25" spans="2:7" ht="17" thickBot="1" x14ac:dyDescent="0.25">
      <c r="B25" s="162" t="s">
        <v>20</v>
      </c>
      <c r="C25" s="111">
        <v>0.26</v>
      </c>
      <c r="D25" s="111">
        <v>0.25</v>
      </c>
      <c r="E25" s="111">
        <v>0.28999999999999998</v>
      </c>
      <c r="F25" s="111">
        <v>0.3</v>
      </c>
      <c r="G25" s="6">
        <v>0.33</v>
      </c>
    </row>
  </sheetData>
  <mergeCells count="1">
    <mergeCell ref="B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315A-4450-7545-83BA-87B8D6799B2B}">
  <dimension ref="B1:J27"/>
  <sheetViews>
    <sheetView showGridLines="0" topLeftCell="A9" zoomScale="82" zoomScaleNormal="130" workbookViewId="0">
      <selection activeCell="L38" sqref="L38"/>
    </sheetView>
  </sheetViews>
  <sheetFormatPr baseColWidth="10" defaultColWidth="19.33203125" defaultRowHeight="16" x14ac:dyDescent="0.2"/>
  <cols>
    <col min="1" max="1" width="2.6640625" customWidth="1"/>
    <col min="2" max="2" width="39.33203125" customWidth="1"/>
    <col min="3" max="3" width="14.33203125" customWidth="1"/>
    <col min="4" max="4" width="15.33203125" bestFit="1" customWidth="1"/>
    <col min="5" max="5" width="14.33203125" customWidth="1"/>
    <col min="6" max="6" width="23.33203125" bestFit="1" customWidth="1"/>
    <col min="7" max="8" width="14.33203125" customWidth="1"/>
    <col min="9" max="9" width="16.1640625" bestFit="1" customWidth="1"/>
    <col min="10" max="10" width="14.33203125" customWidth="1"/>
  </cols>
  <sheetData>
    <row r="1" spans="2:10" ht="16" customHeight="1" thickBot="1" x14ac:dyDescent="0.25"/>
    <row r="2" spans="2:10" ht="16" customHeight="1" thickBot="1" x14ac:dyDescent="0.25">
      <c r="B2" s="389" t="s">
        <v>21</v>
      </c>
      <c r="C2" s="390"/>
      <c r="D2" s="390"/>
      <c r="E2" s="390"/>
      <c r="F2" s="390"/>
      <c r="G2" s="390"/>
      <c r="H2" s="390"/>
      <c r="I2" s="390"/>
      <c r="J2" s="391"/>
    </row>
    <row r="4" spans="2:10" ht="17" thickBot="1" x14ac:dyDescent="0.25">
      <c r="B4" s="25" t="s">
        <v>22</v>
      </c>
      <c r="C4" s="21" t="s">
        <v>2</v>
      </c>
      <c r="D4" s="21" t="s">
        <v>23</v>
      </c>
      <c r="E4" s="21" t="s">
        <v>24</v>
      </c>
      <c r="F4" s="21" t="s">
        <v>25</v>
      </c>
      <c r="G4" s="21" t="s">
        <v>26</v>
      </c>
      <c r="H4" s="21" t="s">
        <v>27</v>
      </c>
      <c r="I4" s="21" t="s">
        <v>28</v>
      </c>
      <c r="J4" s="21" t="s">
        <v>29</v>
      </c>
    </row>
    <row r="5" spans="2:10" x14ac:dyDescent="0.2">
      <c r="B5" s="74" t="s">
        <v>30</v>
      </c>
      <c r="C5" s="55">
        <v>15855</v>
      </c>
      <c r="D5" s="66">
        <v>0.13200000000000001</v>
      </c>
      <c r="E5" s="55">
        <v>1567</v>
      </c>
      <c r="F5" s="55">
        <v>2088</v>
      </c>
      <c r="G5" s="55">
        <v>2383</v>
      </c>
      <c r="H5" s="55">
        <v>5171</v>
      </c>
      <c r="I5" s="55">
        <v>9178</v>
      </c>
      <c r="J5" s="17">
        <v>36460</v>
      </c>
    </row>
    <row r="6" spans="2:10" x14ac:dyDescent="0.2">
      <c r="B6" s="75" t="s">
        <v>31</v>
      </c>
      <c r="C6" s="49">
        <v>37000</v>
      </c>
      <c r="D6" s="67">
        <v>0.16500000000000001</v>
      </c>
      <c r="E6" s="49">
        <v>2850</v>
      </c>
      <c r="F6" s="49">
        <v>6105</v>
      </c>
      <c r="G6" s="49">
        <v>10600</v>
      </c>
      <c r="H6" s="49">
        <v>9544</v>
      </c>
      <c r="I6" s="49">
        <v>10194</v>
      </c>
      <c r="J6" s="17">
        <v>90000</v>
      </c>
    </row>
    <row r="7" spans="2:10" x14ac:dyDescent="0.2">
      <c r="B7" s="75" t="s">
        <v>32</v>
      </c>
      <c r="C7" s="49">
        <v>765</v>
      </c>
      <c r="D7" s="67">
        <v>0.09</v>
      </c>
      <c r="E7" s="49">
        <v>25</v>
      </c>
      <c r="F7" s="49">
        <v>68.849999999999994</v>
      </c>
      <c r="G7" s="49">
        <v>50</v>
      </c>
      <c r="H7" s="49">
        <v>142</v>
      </c>
      <c r="I7" s="49">
        <v>77</v>
      </c>
      <c r="J7" s="17">
        <v>4800</v>
      </c>
    </row>
    <row r="8" spans="2:10" x14ac:dyDescent="0.2">
      <c r="B8" s="75" t="s">
        <v>33</v>
      </c>
      <c r="C8" s="49">
        <v>4947</v>
      </c>
      <c r="D8" s="67">
        <v>0.24</v>
      </c>
      <c r="E8" s="49">
        <v>480</v>
      </c>
      <c r="F8" s="49">
        <v>1187.28</v>
      </c>
      <c r="G8" s="49">
        <v>1280</v>
      </c>
      <c r="H8" s="49">
        <v>1427</v>
      </c>
      <c r="I8" s="49">
        <v>1619</v>
      </c>
      <c r="J8" s="17">
        <v>12800</v>
      </c>
    </row>
    <row r="9" spans="2:10" x14ac:dyDescent="0.2">
      <c r="B9" s="75" t="s">
        <v>34</v>
      </c>
      <c r="C9" s="49">
        <v>493</v>
      </c>
      <c r="D9" s="67">
        <v>0.2</v>
      </c>
      <c r="E9" s="49">
        <v>55</v>
      </c>
      <c r="F9" s="49">
        <v>98.6</v>
      </c>
      <c r="G9" s="49">
        <v>0</v>
      </c>
      <c r="H9" s="49">
        <v>233</v>
      </c>
      <c r="I9" s="49">
        <v>77</v>
      </c>
      <c r="J9" s="17">
        <v>1950</v>
      </c>
    </row>
    <row r="10" spans="2:10" x14ac:dyDescent="0.2">
      <c r="B10" s="91" t="s">
        <v>35</v>
      </c>
      <c r="C10" s="86">
        <v>5389</v>
      </c>
      <c r="D10" s="87">
        <v>0.17899999999999999</v>
      </c>
      <c r="E10" s="86">
        <v>632</v>
      </c>
      <c r="F10" s="86">
        <v>962.77</v>
      </c>
      <c r="G10" s="86">
        <v>1000</v>
      </c>
      <c r="H10" s="86">
        <v>1579</v>
      </c>
      <c r="I10" s="86">
        <v>1189</v>
      </c>
      <c r="J10" s="88">
        <v>16400</v>
      </c>
    </row>
    <row r="11" spans="2:10" x14ac:dyDescent="0.2">
      <c r="B11" s="75" t="s">
        <v>36</v>
      </c>
      <c r="C11" s="49">
        <v>11640</v>
      </c>
      <c r="D11" s="67">
        <v>0.20799999999999999</v>
      </c>
      <c r="E11" s="49">
        <v>1144</v>
      </c>
      <c r="F11" s="49">
        <v>2421.12</v>
      </c>
      <c r="G11" s="49">
        <v>3599</v>
      </c>
      <c r="H11" s="49">
        <v>3844</v>
      </c>
      <c r="I11" s="49">
        <v>6223</v>
      </c>
      <c r="J11" s="17">
        <v>28500</v>
      </c>
    </row>
    <row r="12" spans="2:10" ht="17" thickBot="1" x14ac:dyDescent="0.25">
      <c r="B12" s="112" t="s">
        <v>37</v>
      </c>
      <c r="C12" s="84">
        <v>25000</v>
      </c>
      <c r="D12" s="123" t="s">
        <v>38</v>
      </c>
      <c r="E12" s="123" t="s">
        <v>38</v>
      </c>
      <c r="F12" s="123" t="s">
        <v>38</v>
      </c>
      <c r="G12" s="123" t="s">
        <v>38</v>
      </c>
      <c r="H12" s="123" t="s">
        <v>38</v>
      </c>
      <c r="I12" s="123" t="s">
        <v>38</v>
      </c>
      <c r="J12" s="85">
        <v>48000</v>
      </c>
    </row>
    <row r="13" spans="2:10" x14ac:dyDescent="0.2">
      <c r="C13" s="1"/>
      <c r="J13" s="1"/>
    </row>
    <row r="14" spans="2:10" ht="17" thickBot="1" x14ac:dyDescent="0.25">
      <c r="B14" s="25" t="s">
        <v>22</v>
      </c>
      <c r="C14" s="21" t="s">
        <v>39</v>
      </c>
      <c r="D14" s="21" t="s">
        <v>40</v>
      </c>
      <c r="E14" s="21" t="s">
        <v>41</v>
      </c>
      <c r="F14" s="21" t="s">
        <v>42</v>
      </c>
      <c r="G14" s="21" t="s">
        <v>43</v>
      </c>
      <c r="H14" s="21" t="s">
        <v>44</v>
      </c>
      <c r="I14" s="21" t="s">
        <v>45</v>
      </c>
      <c r="J14" s="21" t="s">
        <v>46</v>
      </c>
    </row>
    <row r="15" spans="2:10" x14ac:dyDescent="0.2">
      <c r="B15" s="74" t="s">
        <v>30</v>
      </c>
      <c r="C15" s="55">
        <v>26046</v>
      </c>
      <c r="D15" s="68">
        <v>2109000000</v>
      </c>
      <c r="E15" s="71">
        <v>12.35</v>
      </c>
      <c r="F15" s="74">
        <v>16.600000000000001</v>
      </c>
      <c r="G15" s="77" t="s">
        <v>47</v>
      </c>
      <c r="H15" s="81">
        <v>0.95</v>
      </c>
      <c r="I15" s="66">
        <v>2.1000000000000001E-2</v>
      </c>
      <c r="J15" s="13">
        <v>0.3</v>
      </c>
    </row>
    <row r="16" spans="2:10" x14ac:dyDescent="0.2">
      <c r="B16" s="75" t="s">
        <v>31</v>
      </c>
      <c r="C16" s="49">
        <v>46230</v>
      </c>
      <c r="D16" s="69">
        <v>1547200000</v>
      </c>
      <c r="E16" s="72">
        <v>29.88</v>
      </c>
      <c r="F16" s="75">
        <v>16.2</v>
      </c>
      <c r="G16" s="78" t="s">
        <v>48</v>
      </c>
      <c r="H16" s="82">
        <v>0.75</v>
      </c>
      <c r="I16" s="67">
        <v>3.5999999999999997E-2</v>
      </c>
      <c r="J16" s="13">
        <v>0.35499999999999998</v>
      </c>
    </row>
    <row r="17" spans="2:10" x14ac:dyDescent="0.2">
      <c r="B17" s="75" t="s">
        <v>32</v>
      </c>
      <c r="C17" s="49">
        <v>594</v>
      </c>
      <c r="D17" s="69">
        <v>31204418</v>
      </c>
      <c r="E17" s="72">
        <v>19.05</v>
      </c>
      <c r="F17" s="75">
        <v>23.8</v>
      </c>
      <c r="G17" s="124" t="s">
        <v>38</v>
      </c>
      <c r="H17" s="82">
        <v>0.9</v>
      </c>
      <c r="I17" s="67">
        <v>3.4000000000000002E-2</v>
      </c>
      <c r="J17" s="13">
        <v>0.37</v>
      </c>
    </row>
    <row r="18" spans="2:10" x14ac:dyDescent="0.2">
      <c r="B18" s="75" t="s">
        <v>33</v>
      </c>
      <c r="C18" s="49">
        <v>8144</v>
      </c>
      <c r="D18" s="69">
        <v>227049657</v>
      </c>
      <c r="E18" s="72">
        <v>35.869999999999997</v>
      </c>
      <c r="F18" s="75">
        <v>17</v>
      </c>
      <c r="G18" s="78" t="s">
        <v>47</v>
      </c>
      <c r="H18" s="82">
        <v>0.7</v>
      </c>
      <c r="I18" s="67">
        <v>3.3000000000000002E-2</v>
      </c>
      <c r="J18" s="13">
        <v>0.36</v>
      </c>
    </row>
    <row r="19" spans="2:10" x14ac:dyDescent="0.2">
      <c r="B19" s="75" t="s">
        <v>34</v>
      </c>
      <c r="C19" s="49">
        <v>1368</v>
      </c>
      <c r="D19" s="69">
        <v>54941131</v>
      </c>
      <c r="E19" s="72">
        <v>24.9</v>
      </c>
      <c r="F19" s="75">
        <v>24.9</v>
      </c>
      <c r="G19" s="124" t="s">
        <v>38</v>
      </c>
      <c r="H19" s="82">
        <v>0.85</v>
      </c>
      <c r="I19" s="67">
        <v>1.2999999999999999E-2</v>
      </c>
      <c r="J19" s="13">
        <v>0.33</v>
      </c>
    </row>
    <row r="20" spans="2:10" x14ac:dyDescent="0.2">
      <c r="B20" s="91" t="s">
        <v>35</v>
      </c>
      <c r="C20" s="86">
        <v>15899</v>
      </c>
      <c r="D20" s="89">
        <v>275742319</v>
      </c>
      <c r="E20" s="90">
        <v>57.66</v>
      </c>
      <c r="F20" s="91">
        <v>25.2</v>
      </c>
      <c r="G20" s="92" t="s">
        <v>49</v>
      </c>
      <c r="H20" s="93">
        <v>0.7</v>
      </c>
      <c r="I20" s="87">
        <v>2.1999999999999999E-2</v>
      </c>
      <c r="J20" s="94">
        <v>0.32</v>
      </c>
    </row>
    <row r="21" spans="2:10" ht="17" thickBot="1" x14ac:dyDescent="0.25">
      <c r="B21" s="76" t="s">
        <v>36</v>
      </c>
      <c r="C21" s="51">
        <v>17761</v>
      </c>
      <c r="D21" s="70">
        <v>336000000</v>
      </c>
      <c r="E21" s="73">
        <v>52.86</v>
      </c>
      <c r="F21" s="76">
        <v>15.5</v>
      </c>
      <c r="G21" s="79" t="s">
        <v>49</v>
      </c>
      <c r="H21" s="83">
        <v>0.65</v>
      </c>
      <c r="I21" s="80">
        <v>3.1E-2</v>
      </c>
      <c r="J21" s="20">
        <v>0.34300000000000003</v>
      </c>
    </row>
    <row r="22" spans="2:10" ht="17" thickBot="1" x14ac:dyDescent="0.25"/>
    <row r="23" spans="2:10" ht="17" thickBot="1" x14ac:dyDescent="0.25">
      <c r="B23" s="392" t="s">
        <v>50</v>
      </c>
      <c r="C23" s="393"/>
      <c r="D23" s="256">
        <v>5.6000000000000001E-2</v>
      </c>
    </row>
    <row r="27" spans="2:10" x14ac:dyDescent="0.2">
      <c r="F27" s="394"/>
      <c r="G27" s="394"/>
      <c r="H27" s="394"/>
      <c r="I27" s="394"/>
    </row>
  </sheetData>
  <mergeCells count="3">
    <mergeCell ref="B2:J2"/>
    <mergeCell ref="B23:C23"/>
    <mergeCell ref="F27:I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651D5-C7DB-0A49-9B6B-CA6B1F7C7E9F}">
  <dimension ref="B1:Q31"/>
  <sheetViews>
    <sheetView showGridLines="0" zoomScale="130" zoomScaleNormal="130" workbookViewId="0">
      <selection activeCell="K13" sqref="K13"/>
    </sheetView>
  </sheetViews>
  <sheetFormatPr baseColWidth="10" defaultColWidth="11" defaultRowHeight="15.75" customHeight="1" x14ac:dyDescent="0.2"/>
  <cols>
    <col min="1" max="1" width="2.6640625" customWidth="1"/>
    <col min="2" max="2" width="30" bestFit="1" customWidth="1"/>
    <col min="3" max="9" width="10.5" bestFit="1" customWidth="1"/>
    <col min="10" max="12" width="7.1640625" bestFit="1" customWidth="1"/>
    <col min="13" max="13" width="13.1640625" customWidth="1"/>
  </cols>
  <sheetData>
    <row r="1" spans="2:17" ht="16" customHeight="1" x14ac:dyDescent="0.2"/>
    <row r="2" spans="2:17" ht="16" customHeight="1" x14ac:dyDescent="0.2">
      <c r="B2" s="389" t="s">
        <v>51</v>
      </c>
      <c r="C2" s="390"/>
      <c r="D2" s="390"/>
      <c r="E2" s="390"/>
      <c r="F2" s="390"/>
      <c r="G2" s="390"/>
      <c r="H2" s="390"/>
      <c r="I2" s="391"/>
    </row>
    <row r="3" spans="2:17" ht="16" x14ac:dyDescent="0.2">
      <c r="D3" s="122"/>
    </row>
    <row r="4" spans="2:17" ht="16" x14ac:dyDescent="0.2">
      <c r="B4" s="31" t="s">
        <v>52</v>
      </c>
      <c r="C4" s="31">
        <v>2006</v>
      </c>
      <c r="D4" s="144">
        <v>2007</v>
      </c>
      <c r="E4" s="145" t="s">
        <v>53</v>
      </c>
      <c r="F4" s="145" t="s">
        <v>54</v>
      </c>
      <c r="G4" s="145" t="s">
        <v>55</v>
      </c>
      <c r="H4" s="145" t="s">
        <v>56</v>
      </c>
      <c r="I4" s="145" t="s">
        <v>57</v>
      </c>
    </row>
    <row r="5" spans="2:17" ht="16" x14ac:dyDescent="0.2">
      <c r="B5" s="75" t="s">
        <v>58</v>
      </c>
      <c r="C5" s="49">
        <v>416</v>
      </c>
      <c r="D5" s="34">
        <v>288</v>
      </c>
      <c r="E5" s="45">
        <v>293</v>
      </c>
      <c r="F5" s="49">
        <v>303</v>
      </c>
      <c r="G5" s="49">
        <v>312</v>
      </c>
      <c r="H5" s="49">
        <v>322</v>
      </c>
      <c r="I5" s="14">
        <v>331</v>
      </c>
    </row>
    <row r="6" spans="2:17" ht="16" x14ac:dyDescent="0.2">
      <c r="B6" s="59" t="s">
        <v>59</v>
      </c>
      <c r="C6" s="59">
        <v>1.5948</v>
      </c>
      <c r="D6" s="35">
        <v>2.6387</v>
      </c>
      <c r="E6" s="58">
        <v>2.9266000000000001</v>
      </c>
      <c r="F6" s="59">
        <v>3.0203000000000002</v>
      </c>
      <c r="G6" s="59">
        <v>3.1008</v>
      </c>
      <c r="H6" s="59">
        <v>3.1791999999999998</v>
      </c>
      <c r="I6" s="28">
        <v>3.2717000000000001</v>
      </c>
    </row>
    <row r="7" spans="2:17" ht="16" x14ac:dyDescent="0.2">
      <c r="B7" s="18"/>
      <c r="C7" s="18"/>
      <c r="D7" s="36"/>
      <c r="E7" s="18"/>
      <c r="F7" s="18"/>
      <c r="G7" s="18"/>
      <c r="H7" s="18"/>
      <c r="I7" s="18"/>
      <c r="M7" s="395" t="s">
        <v>60</v>
      </c>
      <c r="N7" s="396"/>
      <c r="P7" s="395" t="s">
        <v>61</v>
      </c>
      <c r="Q7" s="396"/>
    </row>
    <row r="8" spans="2:17" ht="16" x14ac:dyDescent="0.2">
      <c r="B8" s="95" t="s">
        <v>62</v>
      </c>
      <c r="C8" s="33"/>
      <c r="D8" s="37"/>
      <c r="E8" s="33"/>
      <c r="F8" s="33"/>
      <c r="G8" s="33"/>
      <c r="H8" s="33"/>
      <c r="I8" s="33"/>
      <c r="M8" s="60" t="s">
        <v>48</v>
      </c>
      <c r="N8" s="61">
        <v>5.5500000000000001E-2</v>
      </c>
      <c r="P8" s="60" t="s">
        <v>63</v>
      </c>
      <c r="Q8" s="64">
        <v>1.0699999999999999E-2</v>
      </c>
    </row>
    <row r="9" spans="2:17" ht="16" x14ac:dyDescent="0.2">
      <c r="B9" s="96" t="s">
        <v>64</v>
      </c>
      <c r="C9" s="48">
        <v>1822</v>
      </c>
      <c r="D9" s="38">
        <v>1823</v>
      </c>
      <c r="E9" s="44">
        <v>2011</v>
      </c>
      <c r="F9" s="46">
        <v>2096</v>
      </c>
      <c r="G9" s="46">
        <v>2183</v>
      </c>
      <c r="H9" s="46">
        <v>2265</v>
      </c>
      <c r="I9" s="27">
        <v>2353</v>
      </c>
      <c r="M9" s="60" t="s">
        <v>47</v>
      </c>
      <c r="N9" s="61">
        <v>5.9299999999999999E-2</v>
      </c>
      <c r="P9" s="60" t="s">
        <v>65</v>
      </c>
      <c r="Q9" s="64">
        <v>1.3100000000000001E-2</v>
      </c>
    </row>
    <row r="10" spans="2:17" ht="16" x14ac:dyDescent="0.2">
      <c r="B10" s="82" t="s">
        <v>66</v>
      </c>
      <c r="C10" s="49">
        <v>2153</v>
      </c>
      <c r="D10" s="34">
        <v>2726</v>
      </c>
      <c r="E10" s="45">
        <v>3080</v>
      </c>
      <c r="F10" s="47">
        <v>3472</v>
      </c>
      <c r="G10" s="47">
        <v>3882</v>
      </c>
      <c r="H10" s="47">
        <v>4357</v>
      </c>
      <c r="I10" s="14">
        <v>4879</v>
      </c>
      <c r="M10" s="129" t="s">
        <v>49</v>
      </c>
      <c r="N10" s="131">
        <v>6.3E-2</v>
      </c>
      <c r="P10" s="60" t="s">
        <v>67</v>
      </c>
      <c r="Q10" s="64">
        <v>1.5800000000000002E-2</v>
      </c>
    </row>
    <row r="11" spans="2:17" ht="16" x14ac:dyDescent="0.2">
      <c r="B11" s="82" t="s">
        <v>68</v>
      </c>
      <c r="C11" s="49">
        <v>648</v>
      </c>
      <c r="D11" s="34">
        <v>777</v>
      </c>
      <c r="E11" s="45">
        <v>876</v>
      </c>
      <c r="F11" s="47">
        <v>965</v>
      </c>
      <c r="G11" s="47">
        <v>1061</v>
      </c>
      <c r="H11" s="47">
        <v>1168</v>
      </c>
      <c r="I11" s="14">
        <v>1287</v>
      </c>
      <c r="M11" s="62" t="s">
        <v>69</v>
      </c>
      <c r="N11" s="63">
        <v>6.9699999999999998E-2</v>
      </c>
      <c r="P11" s="60" t="s">
        <v>70</v>
      </c>
      <c r="Q11" s="64">
        <v>1.7399999999999999E-2</v>
      </c>
    </row>
    <row r="12" spans="2:17" ht="16" x14ac:dyDescent="0.2">
      <c r="B12" s="82" t="s">
        <v>71</v>
      </c>
      <c r="C12" s="49">
        <v>63</v>
      </c>
      <c r="D12" s="34">
        <v>63</v>
      </c>
      <c r="E12" s="45">
        <v>72</v>
      </c>
      <c r="F12" s="47">
        <v>79</v>
      </c>
      <c r="G12" s="47">
        <v>90</v>
      </c>
      <c r="H12" s="47">
        <v>103</v>
      </c>
      <c r="I12" s="26">
        <v>117</v>
      </c>
      <c r="P12" s="60" t="s">
        <v>72</v>
      </c>
      <c r="Q12" s="64">
        <v>2.0500000000000001E-2</v>
      </c>
    </row>
    <row r="13" spans="2:17" ht="16" x14ac:dyDescent="0.2">
      <c r="B13" s="132" t="s">
        <v>2</v>
      </c>
      <c r="C13" s="133">
        <v>4686</v>
      </c>
      <c r="D13" s="134">
        <v>5389</v>
      </c>
      <c r="E13" s="135">
        <v>6039</v>
      </c>
      <c r="F13" s="136">
        <v>6613</v>
      </c>
      <c r="G13" s="136">
        <v>7215</v>
      </c>
      <c r="H13" s="136">
        <v>7893</v>
      </c>
      <c r="I13" s="137">
        <v>8635</v>
      </c>
      <c r="P13" s="60" t="s">
        <v>73</v>
      </c>
      <c r="Q13" s="64">
        <v>2.23E-2</v>
      </c>
    </row>
    <row r="14" spans="2:17" ht="16" x14ac:dyDescent="0.2">
      <c r="B14" s="101" t="s">
        <v>74</v>
      </c>
      <c r="C14" s="100"/>
      <c r="D14" s="39"/>
      <c r="P14" s="146" t="s">
        <v>75</v>
      </c>
      <c r="Q14" s="147">
        <v>2.8400000000000002E-2</v>
      </c>
    </row>
    <row r="15" spans="2:17" ht="16" x14ac:dyDescent="0.2">
      <c r="B15" s="96" t="s">
        <v>76</v>
      </c>
      <c r="C15" s="48">
        <v>0</v>
      </c>
      <c r="D15" s="38">
        <v>761</v>
      </c>
      <c r="E15" s="44">
        <v>857</v>
      </c>
      <c r="F15" s="48">
        <v>915</v>
      </c>
      <c r="G15" s="48">
        <v>967</v>
      </c>
      <c r="H15" s="48">
        <v>1024</v>
      </c>
      <c r="I15" s="27">
        <v>1083</v>
      </c>
      <c r="P15" s="60" t="s">
        <v>77</v>
      </c>
      <c r="Q15" s="64">
        <v>3.1899999999999998E-2</v>
      </c>
    </row>
    <row r="16" spans="2:17" ht="16" x14ac:dyDescent="0.2">
      <c r="B16" s="82" t="s">
        <v>78</v>
      </c>
      <c r="C16" s="49">
        <v>0</v>
      </c>
      <c r="D16" s="34">
        <v>1775</v>
      </c>
      <c r="E16" s="45">
        <v>2047</v>
      </c>
      <c r="F16" s="49">
        <v>2278</v>
      </c>
      <c r="G16" s="49">
        <v>2515</v>
      </c>
      <c r="H16" s="49">
        <v>2795</v>
      </c>
      <c r="I16" s="14">
        <v>3098</v>
      </c>
      <c r="P16" s="129" t="s">
        <v>79</v>
      </c>
      <c r="Q16" s="130">
        <v>3.6799999999999999E-2</v>
      </c>
    </row>
    <row r="17" spans="2:17" ht="16" x14ac:dyDescent="0.2">
      <c r="B17" s="97" t="s">
        <v>80</v>
      </c>
      <c r="C17" s="48">
        <v>0</v>
      </c>
      <c r="D17" s="38">
        <v>2535</v>
      </c>
      <c r="E17" s="44">
        <v>2904</v>
      </c>
      <c r="F17" s="48">
        <v>3193</v>
      </c>
      <c r="G17" s="48">
        <v>3483</v>
      </c>
      <c r="H17" s="48">
        <v>3818</v>
      </c>
      <c r="I17" s="27">
        <v>4181</v>
      </c>
      <c r="M17" s="397" t="s">
        <v>81</v>
      </c>
      <c r="N17" s="399">
        <v>0.06</v>
      </c>
      <c r="P17" s="60" t="s">
        <v>82</v>
      </c>
      <c r="Q17" s="64">
        <v>4.3999999999999997E-2</v>
      </c>
    </row>
    <row r="18" spans="2:17" ht="16" x14ac:dyDescent="0.2">
      <c r="B18" s="76" t="s">
        <v>83</v>
      </c>
      <c r="C18" s="51">
        <v>0</v>
      </c>
      <c r="D18" s="40">
        <v>1891</v>
      </c>
      <c r="E18" s="50">
        <v>2114</v>
      </c>
      <c r="F18" s="51">
        <v>2315</v>
      </c>
      <c r="G18" s="51">
        <v>2525</v>
      </c>
      <c r="H18" s="51">
        <v>2755</v>
      </c>
      <c r="I18" s="19">
        <v>3005</v>
      </c>
      <c r="M18" s="398"/>
      <c r="N18" s="400"/>
      <c r="P18" s="62" t="s">
        <v>84</v>
      </c>
      <c r="Q18" s="65">
        <v>4.4400000000000002E-2</v>
      </c>
    </row>
    <row r="19" spans="2:17" ht="16" x14ac:dyDescent="0.2">
      <c r="B19" s="59" t="s">
        <v>85</v>
      </c>
      <c r="C19" s="125">
        <v>0</v>
      </c>
      <c r="D19" s="126">
        <v>963</v>
      </c>
      <c r="E19" s="127">
        <v>1021</v>
      </c>
      <c r="F19" s="125">
        <v>1105</v>
      </c>
      <c r="G19" s="125">
        <v>1207</v>
      </c>
      <c r="H19" s="125">
        <v>1320</v>
      </c>
      <c r="I19" s="128">
        <v>1449</v>
      </c>
    </row>
    <row r="20" spans="2:17" ht="16" x14ac:dyDescent="0.2">
      <c r="B20" s="138" t="s">
        <v>86</v>
      </c>
      <c r="C20" s="133">
        <v>0</v>
      </c>
      <c r="D20" s="134">
        <v>655</v>
      </c>
      <c r="E20" s="135">
        <v>694</v>
      </c>
      <c r="F20" s="133">
        <v>751</v>
      </c>
      <c r="G20" s="133">
        <v>821</v>
      </c>
      <c r="H20" s="133">
        <v>898</v>
      </c>
      <c r="I20" s="137">
        <v>986</v>
      </c>
    </row>
    <row r="21" spans="2:17" ht="16" x14ac:dyDescent="0.2">
      <c r="B21" s="82" t="s">
        <v>87</v>
      </c>
      <c r="C21" s="49">
        <v>0</v>
      </c>
      <c r="D21" s="34">
        <v>51</v>
      </c>
      <c r="E21" s="45">
        <v>193</v>
      </c>
      <c r="F21" s="49">
        <v>156</v>
      </c>
      <c r="G21" s="49">
        <v>158</v>
      </c>
      <c r="H21" s="49">
        <v>163</v>
      </c>
      <c r="I21" s="14">
        <v>160</v>
      </c>
    </row>
    <row r="22" spans="2:17" ht="16" x14ac:dyDescent="0.2">
      <c r="B22" s="82" t="s">
        <v>88</v>
      </c>
      <c r="C22" s="49">
        <v>0</v>
      </c>
      <c r="D22" s="34">
        <v>189</v>
      </c>
      <c r="E22" s="45">
        <v>325</v>
      </c>
      <c r="F22" s="49">
        <v>340</v>
      </c>
      <c r="G22" s="49">
        <v>356</v>
      </c>
      <c r="H22" s="49">
        <v>373</v>
      </c>
      <c r="I22" s="14">
        <v>390</v>
      </c>
    </row>
    <row r="23" spans="2:17" ht="16" x14ac:dyDescent="0.2">
      <c r="B23" s="83" t="s">
        <v>89</v>
      </c>
      <c r="C23" s="51">
        <v>0</v>
      </c>
      <c r="D23" s="40">
        <v>-5</v>
      </c>
      <c r="E23" s="50">
        <v>134</v>
      </c>
      <c r="F23" s="51">
        <v>-41</v>
      </c>
      <c r="G23" s="51">
        <v>40</v>
      </c>
      <c r="H23" s="51">
        <v>50</v>
      </c>
      <c r="I23" s="19">
        <v>30</v>
      </c>
    </row>
    <row r="24" spans="2:17" ht="16" x14ac:dyDescent="0.2">
      <c r="B24" s="139" t="s">
        <v>90</v>
      </c>
      <c r="C24" s="140">
        <v>0</v>
      </c>
      <c r="D24" s="141">
        <v>0</v>
      </c>
      <c r="E24" s="142">
        <v>428</v>
      </c>
      <c r="F24" s="140">
        <v>608</v>
      </c>
      <c r="G24" s="140">
        <v>583</v>
      </c>
      <c r="H24" s="140">
        <v>638</v>
      </c>
      <c r="I24" s="143">
        <v>726</v>
      </c>
    </row>
    <row r="25" spans="2:17" ht="16" x14ac:dyDescent="0.2">
      <c r="B25" s="32"/>
      <c r="C25" s="32"/>
      <c r="D25" s="41"/>
      <c r="E25" s="32"/>
      <c r="F25" s="32"/>
      <c r="G25" s="32"/>
      <c r="H25" s="32"/>
      <c r="I25" s="32"/>
    </row>
    <row r="26" spans="2:17" ht="16" x14ac:dyDescent="0.2">
      <c r="B26" s="74" t="s">
        <v>91</v>
      </c>
      <c r="C26" s="55">
        <v>1423</v>
      </c>
      <c r="D26" s="34">
        <v>1560</v>
      </c>
      <c r="E26" s="52">
        <v>1692</v>
      </c>
      <c r="F26" s="55">
        <v>1876</v>
      </c>
      <c r="G26" s="55">
        <v>2074</v>
      </c>
      <c r="H26" s="55">
        <v>2284</v>
      </c>
      <c r="I26" s="118">
        <v>2513</v>
      </c>
    </row>
    <row r="27" spans="2:17" ht="16" x14ac:dyDescent="0.2">
      <c r="B27" s="98" t="s">
        <v>92</v>
      </c>
      <c r="C27" s="56">
        <v>0.30399999999999999</v>
      </c>
      <c r="D27" s="42">
        <v>0.28899999999999998</v>
      </c>
      <c r="E27" s="53">
        <v>0.28000000000000003</v>
      </c>
      <c r="F27" s="56">
        <v>0.28399999999999997</v>
      </c>
      <c r="G27" s="56">
        <v>0.28699999999999998</v>
      </c>
      <c r="H27" s="56">
        <v>0.28899999999999998</v>
      </c>
      <c r="I27" s="120">
        <v>0.29099999999999998</v>
      </c>
    </row>
    <row r="28" spans="2:17" ht="16" x14ac:dyDescent="0.2">
      <c r="B28" s="97" t="s">
        <v>93</v>
      </c>
      <c r="C28" s="48">
        <v>454.1</v>
      </c>
      <c r="D28" s="38">
        <v>448.66</v>
      </c>
      <c r="E28" s="44">
        <v>582.29999999999995</v>
      </c>
      <c r="F28" s="48">
        <v>541.77</v>
      </c>
      <c r="G28" s="48">
        <v>581.92999999999995</v>
      </c>
      <c r="H28" s="48">
        <v>631.52</v>
      </c>
      <c r="I28" s="27">
        <v>661.76</v>
      </c>
    </row>
    <row r="29" spans="2:17" ht="16" x14ac:dyDescent="0.2">
      <c r="B29" s="99" t="s">
        <v>92</v>
      </c>
      <c r="C29" s="57">
        <v>9.7000000000000003E-2</v>
      </c>
      <c r="D29" s="43">
        <v>8.3000000000000004E-2</v>
      </c>
      <c r="E29" s="54">
        <v>9.6000000000000002E-2</v>
      </c>
      <c r="F29" s="57">
        <v>8.2000000000000003E-2</v>
      </c>
      <c r="G29" s="57">
        <v>8.1000000000000003E-2</v>
      </c>
      <c r="H29" s="57">
        <v>0.08</v>
      </c>
      <c r="I29" s="119">
        <v>7.6999999999999999E-2</v>
      </c>
    </row>
    <row r="30" spans="2:17" ht="16" x14ac:dyDescent="0.2">
      <c r="C30" s="13"/>
      <c r="D30" s="121"/>
      <c r="E30" s="13"/>
      <c r="F30" s="13"/>
      <c r="G30" s="13"/>
      <c r="H30" s="13"/>
      <c r="I30" s="13"/>
    </row>
    <row r="31" spans="2:17" ht="16" x14ac:dyDescent="0.2">
      <c r="B31" s="29" t="s">
        <v>94</v>
      </c>
      <c r="C31" s="30">
        <v>0.32</v>
      </c>
    </row>
  </sheetData>
  <mergeCells count="5">
    <mergeCell ref="B2:I2"/>
    <mergeCell ref="M7:N7"/>
    <mergeCell ref="P7:Q7"/>
    <mergeCell ref="M17:M18"/>
    <mergeCell ref="N17:N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F6F7-818B-4046-82BE-43845F1C1F9E}">
  <dimension ref="B1:AE50"/>
  <sheetViews>
    <sheetView showGridLines="0" zoomScale="84" zoomScaleNormal="208" workbookViewId="0">
      <selection activeCell="D31" sqref="D31"/>
    </sheetView>
  </sheetViews>
  <sheetFormatPr baseColWidth="10" defaultColWidth="11" defaultRowHeight="16" x14ac:dyDescent="0.2"/>
  <cols>
    <col min="1" max="1" width="2.6640625" customWidth="1"/>
    <col min="2" max="2" width="28.5" customWidth="1"/>
    <col min="3" max="3" width="25.6640625" customWidth="1"/>
    <col min="4" max="4" width="13.5" customWidth="1"/>
    <col min="5" max="5" width="33.5" customWidth="1"/>
    <col min="6" max="10" width="15.5" customWidth="1"/>
    <col min="11" max="11" width="24.1640625" customWidth="1"/>
    <col min="12" max="12" width="6.5" customWidth="1"/>
    <col min="13" max="13" width="10.1640625" customWidth="1"/>
    <col min="15" max="15" width="12.5" customWidth="1"/>
    <col min="27" max="27" width="28.6640625" bestFit="1" customWidth="1"/>
    <col min="29" max="29" width="38.83203125" customWidth="1"/>
    <col min="30" max="30" width="21" customWidth="1"/>
    <col min="31" max="31" width="19.33203125" customWidth="1"/>
  </cols>
  <sheetData>
    <row r="1" spans="2:31" ht="16" customHeight="1" x14ac:dyDescent="0.2"/>
    <row r="2" spans="2:31" ht="31" customHeight="1" thickBot="1" x14ac:dyDescent="0.25">
      <c r="E2" s="18"/>
      <c r="F2" s="18"/>
      <c r="H2" s="18"/>
    </row>
    <row r="3" spans="2:31" ht="23" thickBot="1" x14ac:dyDescent="0.25">
      <c r="B3" s="369" t="s">
        <v>95</v>
      </c>
      <c r="C3" s="369"/>
      <c r="E3" s="369" t="s">
        <v>96</v>
      </c>
      <c r="F3" s="369"/>
      <c r="G3" s="369"/>
      <c r="H3" s="369"/>
      <c r="I3" s="369"/>
      <c r="J3" s="369"/>
      <c r="K3" s="369"/>
    </row>
    <row r="4" spans="2:31" ht="23" thickBot="1" x14ac:dyDescent="0.35">
      <c r="B4" s="165" t="s">
        <v>44</v>
      </c>
      <c r="C4" s="166">
        <f>'Exhibit 10'!H20</f>
        <v>0.7</v>
      </c>
      <c r="E4" s="169" t="s">
        <v>97</v>
      </c>
      <c r="F4" s="170">
        <v>1</v>
      </c>
      <c r="G4" s="170">
        <v>2</v>
      </c>
      <c r="H4" s="172">
        <v>3</v>
      </c>
      <c r="I4" s="171">
        <v>4</v>
      </c>
      <c r="J4" s="172">
        <v>5</v>
      </c>
      <c r="K4" s="171" t="s">
        <v>98</v>
      </c>
    </row>
    <row r="5" spans="2:31" ht="22" x14ac:dyDescent="0.3">
      <c r="B5" s="152" t="s">
        <v>99</v>
      </c>
      <c r="C5" s="154">
        <f>Risk_Free_Rate+(βeta*Market_Risk_Premium)</f>
        <v>7.8799999999999995E-2</v>
      </c>
      <c r="E5" s="149" t="s">
        <v>100</v>
      </c>
      <c r="F5" s="149">
        <v>2008</v>
      </c>
      <c r="G5" s="149">
        <v>2009</v>
      </c>
      <c r="H5" s="149">
        <v>2010</v>
      </c>
      <c r="I5" s="149">
        <v>2011</v>
      </c>
      <c r="J5" s="149">
        <v>2012</v>
      </c>
      <c r="K5" s="149" t="s">
        <v>101</v>
      </c>
      <c r="Z5" s="177"/>
      <c r="AA5" s="178"/>
    </row>
    <row r="6" spans="2:31" ht="22" x14ac:dyDescent="0.3">
      <c r="B6" s="152" t="s">
        <v>102</v>
      </c>
      <c r="C6" s="179">
        <f>('Exhibit 10'!C20/('Exhibit 10'!C20+'Exhibit 10'!G10))</f>
        <v>0.940824900881709</v>
      </c>
      <c r="E6" s="186" t="s">
        <v>103</v>
      </c>
      <c r="F6" s="187">
        <f>'Exhibit 11 and 12'!E24</f>
        <v>428</v>
      </c>
      <c r="G6" s="187">
        <f>'Exhibit 11 and 12'!F24</f>
        <v>608</v>
      </c>
      <c r="H6" s="187">
        <f>'Exhibit 11 and 12'!G24</f>
        <v>583</v>
      </c>
      <c r="I6" s="187">
        <f>'Exhibit 11 and 12'!H24</f>
        <v>638</v>
      </c>
      <c r="J6" s="187">
        <f>'Exhibit 11 and 12'!I24</f>
        <v>726</v>
      </c>
      <c r="K6" s="188">
        <f>(J6*(1+Terminal_Growth_Rate))/(WACC-Terminal_Growth_Rate)</f>
        <v>37086.57349975899</v>
      </c>
      <c r="Z6" s="177"/>
      <c r="AA6" s="370" t="s">
        <v>104</v>
      </c>
      <c r="AB6" s="370"/>
      <c r="AC6" s="370"/>
      <c r="AD6" s="370"/>
      <c r="AE6" s="370"/>
    </row>
    <row r="7" spans="2:31" ht="22" x14ac:dyDescent="0.3">
      <c r="B7" s="150" t="s">
        <v>105</v>
      </c>
      <c r="C7" s="151">
        <f>'Exhibit 11 and 12'!N10</f>
        <v>6.3E-2</v>
      </c>
      <c r="E7" s="173" t="s">
        <v>106</v>
      </c>
      <c r="F7" s="174">
        <f>1/(1+WACC)^F4</f>
        <v>0.92878791412954242</v>
      </c>
      <c r="G7" s="174">
        <f>1/(1+WACC)^G4</f>
        <v>0.86264698943310614</v>
      </c>
      <c r="H7" s="174">
        <f>1/(1+WACC)^H4</f>
        <v>0.80121609794570403</v>
      </c>
      <c r="I7" s="174">
        <f>1/(1+WACC)^I4</f>
        <v>0.74415982837800154</v>
      </c>
      <c r="J7" s="174">
        <f>1/(1+WACC)^J4</f>
        <v>0.69116665477820238</v>
      </c>
      <c r="K7" s="175">
        <f>1/(1+WACC)^J4</f>
        <v>0.69116665477820238</v>
      </c>
      <c r="Z7" s="82" t="s">
        <v>107</v>
      </c>
      <c r="AA7" s="371" t="s">
        <v>108</v>
      </c>
      <c r="AB7" s="372"/>
      <c r="AC7" s="190" t="s">
        <v>109</v>
      </c>
      <c r="AD7" s="383" t="s">
        <v>110</v>
      </c>
      <c r="AE7" s="384"/>
    </row>
    <row r="8" spans="2:31" ht="23" thickBot="1" x14ac:dyDescent="0.35">
      <c r="B8" s="167" t="s">
        <v>111</v>
      </c>
      <c r="C8" s="180">
        <f>1-C6</f>
        <v>5.9175099118290997E-2</v>
      </c>
      <c r="E8" s="182" t="s">
        <v>112</v>
      </c>
      <c r="F8" s="183">
        <f>F6*F7</f>
        <v>397.52122724744413</v>
      </c>
      <c r="G8" s="184">
        <f t="shared" ref="G8:K8" si="0">G6*G7</f>
        <v>524.48936957532851</v>
      </c>
      <c r="H8" s="184">
        <f t="shared" si="0"/>
        <v>467.10898510234546</v>
      </c>
      <c r="I8" s="184">
        <f t="shared" si="0"/>
        <v>474.77397050516498</v>
      </c>
      <c r="J8" s="184">
        <f t="shared" si="0"/>
        <v>501.78699136897495</v>
      </c>
      <c r="K8" s="185">
        <f t="shared" si="0"/>
        <v>25633.002943014351</v>
      </c>
      <c r="Z8" s="75">
        <v>1</v>
      </c>
      <c r="AA8" s="373" t="s">
        <v>113</v>
      </c>
      <c r="AB8" s="374"/>
      <c r="AC8" s="191" t="s">
        <v>114</v>
      </c>
      <c r="AD8" s="385" t="s">
        <v>115</v>
      </c>
      <c r="AE8" s="386"/>
    </row>
    <row r="9" spans="2:31" ht="22" x14ac:dyDescent="0.3">
      <c r="B9" s="152" t="s">
        <v>116</v>
      </c>
      <c r="C9" s="154">
        <f>'Exhibit 11 and 12'!Q16</f>
        <v>3.6799999999999999E-2</v>
      </c>
      <c r="M9" s="148"/>
      <c r="Z9" s="75">
        <v>2</v>
      </c>
      <c r="AA9" s="373" t="s">
        <v>117</v>
      </c>
      <c r="AB9" s="374"/>
      <c r="AC9" s="191" t="s">
        <v>118</v>
      </c>
      <c r="AD9" s="385" t="s">
        <v>119</v>
      </c>
      <c r="AE9" s="386"/>
    </row>
    <row r="10" spans="2:31" ht="23" thickBot="1" x14ac:dyDescent="0.35">
      <c r="B10" s="167" t="s">
        <v>81</v>
      </c>
      <c r="C10" s="168">
        <f>'Exhibit 11 and 12'!N17</f>
        <v>0.06</v>
      </c>
      <c r="Z10" s="75">
        <v>3</v>
      </c>
      <c r="AA10" s="373" t="s">
        <v>120</v>
      </c>
      <c r="AB10" s="374"/>
      <c r="AC10" s="191" t="s">
        <v>121</v>
      </c>
      <c r="AD10" s="385" t="s">
        <v>122</v>
      </c>
      <c r="AE10" s="386"/>
    </row>
    <row r="11" spans="2:31" ht="23" thickBot="1" x14ac:dyDescent="0.35">
      <c r="B11" s="152" t="s">
        <v>46</v>
      </c>
      <c r="C11" s="153">
        <f>'Exhibit 11 and 12'!C31</f>
        <v>0.32</v>
      </c>
      <c r="Z11" s="75">
        <v>4</v>
      </c>
      <c r="AA11" s="373" t="s">
        <v>123</v>
      </c>
      <c r="AB11" s="374"/>
      <c r="AC11" s="191" t="s">
        <v>124</v>
      </c>
      <c r="AD11" s="385" t="s">
        <v>125</v>
      </c>
      <c r="AE11" s="386"/>
    </row>
    <row r="12" spans="2:31" ht="23" thickBot="1" x14ac:dyDescent="0.35">
      <c r="B12" s="152" t="s">
        <v>126</v>
      </c>
      <c r="C12" s="154">
        <f>'Exhibit 10'!D23</f>
        <v>5.6000000000000001E-2</v>
      </c>
      <c r="E12" s="379" t="s">
        <v>147</v>
      </c>
      <c r="F12" s="380"/>
      <c r="Z12" s="75">
        <v>5</v>
      </c>
      <c r="AA12" s="189" t="s">
        <v>127</v>
      </c>
      <c r="AB12" s="75"/>
      <c r="AC12" s="191" t="s">
        <v>128</v>
      </c>
      <c r="AD12" s="385" t="s">
        <v>129</v>
      </c>
      <c r="AE12" s="386"/>
    </row>
    <row r="13" spans="2:31" ht="23" thickBot="1" x14ac:dyDescent="0.35">
      <c r="B13" s="155" t="s">
        <v>130</v>
      </c>
      <c r="C13" s="181">
        <f>(C5*C6)+(C7*C8*(1-C11))</f>
        <v>7.6672063435706247E-2</v>
      </c>
      <c r="E13" s="212" t="s">
        <v>152</v>
      </c>
      <c r="F13" s="213">
        <f>SUM(F8:K8)</f>
        <v>27998.68348681361</v>
      </c>
      <c r="L13" s="360" t="s">
        <v>131</v>
      </c>
      <c r="M13" s="361"/>
      <c r="N13" s="362"/>
      <c r="O13" s="362"/>
      <c r="P13" s="362"/>
      <c r="Q13" s="362"/>
      <c r="R13" s="363"/>
      <c r="Z13" s="368">
        <v>6</v>
      </c>
      <c r="AA13" s="387" t="s">
        <v>132</v>
      </c>
      <c r="AB13" s="388"/>
      <c r="AC13" s="191" t="s">
        <v>133</v>
      </c>
      <c r="AD13" s="385" t="s">
        <v>134</v>
      </c>
      <c r="AE13" s="386"/>
    </row>
    <row r="14" spans="2:31" ht="23" customHeight="1" thickTop="1" thickBot="1" x14ac:dyDescent="0.35">
      <c r="E14" s="210" t="s">
        <v>156</v>
      </c>
      <c r="F14" s="211">
        <f>C19</f>
        <v>1000</v>
      </c>
      <c r="I14" s="224"/>
      <c r="L14" s="366" t="s">
        <v>135</v>
      </c>
      <c r="M14" s="367"/>
      <c r="N14" s="375" t="s">
        <v>126</v>
      </c>
      <c r="O14" s="376"/>
      <c r="P14" s="376"/>
      <c r="Q14" s="377"/>
      <c r="R14" s="378"/>
      <c r="Z14" s="368"/>
      <c r="AA14" s="387"/>
      <c r="AB14" s="388"/>
      <c r="AC14" s="191" t="s">
        <v>136</v>
      </c>
      <c r="AD14" s="385" t="s">
        <v>137</v>
      </c>
      <c r="AE14" s="386"/>
    </row>
    <row r="15" spans="2:31" ht="23" customHeight="1" thickBot="1" x14ac:dyDescent="0.25">
      <c r="B15" s="176"/>
      <c r="E15" s="210" t="s">
        <v>159</v>
      </c>
      <c r="F15" s="211">
        <f>C18</f>
        <v>157.9</v>
      </c>
      <c r="L15" s="364">
        <f>F18</f>
        <v>98.485367009674022</v>
      </c>
      <c r="M15" s="365"/>
      <c r="N15" s="206">
        <v>0.03</v>
      </c>
      <c r="O15" s="206">
        <v>0.04</v>
      </c>
      <c r="P15" s="206">
        <v>0.05</v>
      </c>
      <c r="Q15" s="209">
        <v>5.6000000000000001E-2</v>
      </c>
      <c r="R15" s="217">
        <v>0.06</v>
      </c>
      <c r="Z15" s="75">
        <v>7</v>
      </c>
      <c r="AA15" s="382" t="s">
        <v>138</v>
      </c>
      <c r="AB15" s="374"/>
      <c r="AC15" s="191" t="s">
        <v>139</v>
      </c>
      <c r="AD15" s="385" t="s">
        <v>140</v>
      </c>
      <c r="AE15" s="386"/>
    </row>
    <row r="16" spans="2:31" ht="23" customHeight="1" thickBot="1" x14ac:dyDescent="0.25">
      <c r="B16" s="381" t="s">
        <v>141</v>
      </c>
      <c r="C16" s="369"/>
      <c r="E16" s="233" t="s">
        <v>161</v>
      </c>
      <c r="F16" s="234">
        <f>F13+F15-F14</f>
        <v>27156.583486813612</v>
      </c>
      <c r="G16" s="197"/>
      <c r="L16" s="357" t="s">
        <v>130</v>
      </c>
      <c r="M16" s="237">
        <v>5.5E-2</v>
      </c>
      <c r="N16" s="218">
        <v>89.079237590000005</v>
      </c>
      <c r="O16" s="218">
        <v>145.75431090000001</v>
      </c>
      <c r="P16" s="218">
        <v>429.12967759999998</v>
      </c>
      <c r="Q16" s="203" t="s">
        <v>142</v>
      </c>
      <c r="R16" s="219" t="s">
        <v>142</v>
      </c>
      <c r="Z16" s="75">
        <v>8</v>
      </c>
      <c r="AA16" s="189" t="s">
        <v>143</v>
      </c>
      <c r="AB16" s="75"/>
      <c r="AC16" s="191" t="s">
        <v>144</v>
      </c>
      <c r="AD16" s="385" t="s">
        <v>145</v>
      </c>
      <c r="AE16" s="386"/>
    </row>
    <row r="17" spans="2:31" ht="23" thickBot="1" x14ac:dyDescent="0.35">
      <c r="B17" s="192" t="s">
        <v>146</v>
      </c>
      <c r="C17" s="178">
        <f>'Exhibit 10'!H10</f>
        <v>1579</v>
      </c>
      <c r="E17" s="210" t="s">
        <v>163</v>
      </c>
      <c r="F17" s="214">
        <f>'Exhibit 10'!D20</f>
        <v>275742319</v>
      </c>
      <c r="H17" s="236" t="s">
        <v>24</v>
      </c>
      <c r="I17" s="235">
        <f>'Exhibit 10'!E10*1000000</f>
        <v>632000000</v>
      </c>
      <c r="L17" s="357"/>
      <c r="M17" s="238">
        <v>0.06</v>
      </c>
      <c r="N17" s="218">
        <v>73.497285230000003</v>
      </c>
      <c r="O17" s="218">
        <v>108.2555819</v>
      </c>
      <c r="P17" s="218">
        <v>212.53047190000001</v>
      </c>
      <c r="Q17" s="203">
        <v>525.35514179999996</v>
      </c>
      <c r="R17" s="219" t="s">
        <v>142</v>
      </c>
      <c r="Z17" s="75">
        <v>9</v>
      </c>
      <c r="AA17" s="189" t="s">
        <v>148</v>
      </c>
      <c r="AB17" s="75"/>
      <c r="AC17" s="191" t="s">
        <v>149</v>
      </c>
      <c r="AD17" s="385" t="s">
        <v>150</v>
      </c>
      <c r="AE17" s="386"/>
    </row>
    <row r="18" spans="2:31" ht="24" thickBot="1" x14ac:dyDescent="0.35">
      <c r="B18" s="193" t="s">
        <v>151</v>
      </c>
      <c r="C18" s="194">
        <f>0.1*C17</f>
        <v>157.9</v>
      </c>
      <c r="E18" s="215" t="s">
        <v>165</v>
      </c>
      <c r="F18" s="216">
        <f>(F16*1000000)/F17</f>
        <v>98.485367009674022</v>
      </c>
      <c r="H18" s="242" t="s">
        <v>171</v>
      </c>
      <c r="I18" s="246">
        <f>I17/F17</f>
        <v>2.2919949403921565</v>
      </c>
      <c r="L18" s="357"/>
      <c r="M18" s="237">
        <v>6.5000000000000002E-2</v>
      </c>
      <c r="N18" s="218">
        <v>62.370900560000003</v>
      </c>
      <c r="O18" s="218">
        <v>85.760711580000006</v>
      </c>
      <c r="P18" s="218">
        <v>140.33693729999999</v>
      </c>
      <c r="Q18" s="203">
        <v>231.2973135</v>
      </c>
      <c r="R18" s="219">
        <v>413.21806579999998</v>
      </c>
      <c r="Z18" s="75">
        <v>10</v>
      </c>
      <c r="AA18" s="189" t="s">
        <v>153</v>
      </c>
      <c r="AB18" s="75"/>
      <c r="AC18" s="191" t="s">
        <v>154</v>
      </c>
      <c r="AD18" s="385" t="s">
        <v>155</v>
      </c>
      <c r="AE18" s="386"/>
    </row>
    <row r="19" spans="2:31" ht="23" thickBot="1" x14ac:dyDescent="0.35">
      <c r="B19" s="195" t="s">
        <v>15</v>
      </c>
      <c r="C19" s="196">
        <f>'Exhibit 10'!G10</f>
        <v>1000</v>
      </c>
      <c r="H19" s="247" t="s">
        <v>173</v>
      </c>
      <c r="I19" s="248">
        <f>F13/'Exhibit 10'!F10</f>
        <v>29.081383390439679</v>
      </c>
      <c r="L19" s="358"/>
      <c r="M19" s="239">
        <v>7.0000000000000007E-2</v>
      </c>
      <c r="N19" s="218">
        <v>54.029166459999999</v>
      </c>
      <c r="O19" s="208">
        <v>70.767678160000003</v>
      </c>
      <c r="P19" s="218">
        <v>104.2447016</v>
      </c>
      <c r="Q19" s="203">
        <v>147.2865888</v>
      </c>
      <c r="R19" s="219">
        <v>204.67577180000001</v>
      </c>
      <c r="AC19" s="191" t="s">
        <v>157</v>
      </c>
      <c r="AD19" s="385" t="s">
        <v>158</v>
      </c>
      <c r="AE19" s="386"/>
    </row>
    <row r="20" spans="2:31" ht="23" customHeight="1" thickTop="1" thickBot="1" x14ac:dyDescent="0.35">
      <c r="B20" s="177"/>
      <c r="C20" s="178"/>
      <c r="H20" s="243" t="s">
        <v>175</v>
      </c>
      <c r="I20" s="244">
        <f>F18/I18</f>
        <v>42.969277669008875</v>
      </c>
      <c r="L20" s="358"/>
      <c r="M20" s="240">
        <v>7.6700000000000004E-2</v>
      </c>
      <c r="N20" s="204">
        <v>45.65569473</v>
      </c>
      <c r="O20" s="207">
        <v>57.086357169999999</v>
      </c>
      <c r="P20" s="204">
        <v>77.079313589999998</v>
      </c>
      <c r="Q20" s="205">
        <v>98.49</v>
      </c>
      <c r="R20" s="220">
        <v>121.0159304</v>
      </c>
      <c r="AC20" s="191" t="s">
        <v>160</v>
      </c>
      <c r="AD20" s="385"/>
      <c r="AE20" s="386"/>
    </row>
    <row r="21" spans="2:31" ht="23" thickBot="1" x14ac:dyDescent="0.35">
      <c r="B21" s="177"/>
      <c r="C21" s="178"/>
      <c r="L21" s="359"/>
      <c r="M21" s="241">
        <v>0.08</v>
      </c>
      <c r="N21" s="221">
        <v>42.357825400000003</v>
      </c>
      <c r="O21" s="221">
        <v>52.03409989</v>
      </c>
      <c r="P21" s="221">
        <v>68.16122403</v>
      </c>
      <c r="Q21" s="222">
        <v>84.288348170000006</v>
      </c>
      <c r="R21" s="223">
        <v>100.4154723</v>
      </c>
      <c r="AC21" s="191" t="s">
        <v>162</v>
      </c>
      <c r="AD21" s="385"/>
      <c r="AE21" s="386"/>
    </row>
    <row r="22" spans="2:31" ht="22" x14ac:dyDescent="0.3">
      <c r="B22" s="177"/>
      <c r="C22" s="178"/>
      <c r="AC22" s="191" t="s">
        <v>164</v>
      </c>
      <c r="AD22" s="385"/>
      <c r="AE22" s="386"/>
    </row>
    <row r="23" spans="2:31" ht="23" thickBot="1" x14ac:dyDescent="0.35">
      <c r="B23" s="177"/>
      <c r="C23" s="178"/>
      <c r="AC23" s="191" t="s">
        <v>166</v>
      </c>
    </row>
    <row r="24" spans="2:31" ht="23" thickBot="1" x14ac:dyDescent="0.35">
      <c r="B24" s="177"/>
      <c r="C24" s="178"/>
      <c r="Q24" s="245"/>
      <c r="AC24" s="191" t="s">
        <v>167</v>
      </c>
    </row>
    <row r="25" spans="2:31" ht="22" x14ac:dyDescent="0.3">
      <c r="B25" s="177"/>
      <c r="C25" s="178"/>
      <c r="AC25" s="191" t="s">
        <v>168</v>
      </c>
    </row>
    <row r="26" spans="2:31" x14ac:dyDescent="0.2">
      <c r="AC26" s="191" t="s">
        <v>169</v>
      </c>
    </row>
    <row r="27" spans="2:31" x14ac:dyDescent="0.2">
      <c r="AC27" s="191" t="s">
        <v>170</v>
      </c>
    </row>
    <row r="28" spans="2:31" x14ac:dyDescent="0.2">
      <c r="AC28" s="191" t="s">
        <v>172</v>
      </c>
    </row>
    <row r="29" spans="2:31" x14ac:dyDescent="0.2">
      <c r="AC29" s="191" t="s">
        <v>174</v>
      </c>
    </row>
    <row r="30" spans="2:31" x14ac:dyDescent="0.2">
      <c r="AC30" s="191" t="s">
        <v>176</v>
      </c>
    </row>
    <row r="31" spans="2:31" x14ac:dyDescent="0.2">
      <c r="AC31" s="191" t="s">
        <v>177</v>
      </c>
    </row>
    <row r="32" spans="2:31" x14ac:dyDescent="0.2">
      <c r="AC32" s="191" t="s">
        <v>178</v>
      </c>
    </row>
    <row r="50" ht="29" customHeight="1" x14ac:dyDescent="0.2"/>
  </sheetData>
  <mergeCells count="34">
    <mergeCell ref="AD21:AE21"/>
    <mergeCell ref="AD22:AE22"/>
    <mergeCell ref="AD16:AE16"/>
    <mergeCell ref="AD17:AE17"/>
    <mergeCell ref="AD18:AE18"/>
    <mergeCell ref="AD19:AE19"/>
    <mergeCell ref="AD20:AE20"/>
    <mergeCell ref="E12:F12"/>
    <mergeCell ref="B16:C16"/>
    <mergeCell ref="AA15:AB15"/>
    <mergeCell ref="AD7:AE7"/>
    <mergeCell ref="AD8:AE8"/>
    <mergeCell ref="AD9:AE9"/>
    <mergeCell ref="AD10:AE10"/>
    <mergeCell ref="AD11:AE11"/>
    <mergeCell ref="AD12:AE12"/>
    <mergeCell ref="AD13:AE13"/>
    <mergeCell ref="AD14:AE14"/>
    <mergeCell ref="AD15:AE15"/>
    <mergeCell ref="AA9:AB9"/>
    <mergeCell ref="AA10:AB10"/>
    <mergeCell ref="AA11:AB11"/>
    <mergeCell ref="AA13:AB14"/>
    <mergeCell ref="B3:C3"/>
    <mergeCell ref="E3:K3"/>
    <mergeCell ref="AA6:AE6"/>
    <mergeCell ref="AA7:AB7"/>
    <mergeCell ref="AA8:AB8"/>
    <mergeCell ref="L16:L21"/>
    <mergeCell ref="L13:R13"/>
    <mergeCell ref="L15:M15"/>
    <mergeCell ref="L14:M14"/>
    <mergeCell ref="Z13:Z14"/>
    <mergeCell ref="N14:R14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19AB4-D72D-4915-8828-92A72135FF2F}">
  <dimension ref="B1:J21"/>
  <sheetViews>
    <sheetView showGridLines="0" workbookViewId="0">
      <selection activeCell="L29" sqref="L29"/>
    </sheetView>
  </sheetViews>
  <sheetFormatPr baseColWidth="10" defaultColWidth="8.83203125" defaultRowHeight="16" x14ac:dyDescent="0.2"/>
  <cols>
    <col min="1" max="1" width="2.6640625" customWidth="1"/>
    <col min="2" max="2" width="22.1640625" bestFit="1" customWidth="1"/>
    <col min="3" max="10" width="13" customWidth="1"/>
  </cols>
  <sheetData>
    <row r="1" spans="2:10" ht="17" thickBot="1" x14ac:dyDescent="0.25"/>
    <row r="2" spans="2:10" ht="17" thickBot="1" x14ac:dyDescent="0.25">
      <c r="B2" s="401" t="s">
        <v>179</v>
      </c>
      <c r="C2" s="402"/>
      <c r="D2" s="402"/>
      <c r="E2" s="402"/>
      <c r="F2" s="402"/>
      <c r="G2" s="402"/>
      <c r="H2" s="402"/>
      <c r="I2" s="402"/>
      <c r="J2" s="403"/>
    </row>
    <row r="4" spans="2:10" x14ac:dyDescent="0.2">
      <c r="B4" s="228" t="s">
        <v>22</v>
      </c>
      <c r="C4" s="21" t="s">
        <v>39</v>
      </c>
      <c r="D4" s="21" t="s">
        <v>24</v>
      </c>
      <c r="E4" s="21" t="s">
        <v>42</v>
      </c>
      <c r="F4" s="21" t="s">
        <v>25</v>
      </c>
      <c r="G4" s="21" t="s">
        <v>180</v>
      </c>
      <c r="H4" s="21" t="s">
        <v>26</v>
      </c>
      <c r="I4" s="21" t="s">
        <v>181</v>
      </c>
      <c r="J4" s="21" t="s">
        <v>182</v>
      </c>
    </row>
    <row r="5" spans="2:10" x14ac:dyDescent="0.2">
      <c r="B5" s="229" t="s">
        <v>30</v>
      </c>
      <c r="C5" s="55">
        <v>26046</v>
      </c>
      <c r="D5" s="55">
        <v>1567</v>
      </c>
      <c r="E5" s="74">
        <v>16.600000000000001</v>
      </c>
      <c r="F5" s="55">
        <v>2088</v>
      </c>
      <c r="G5" s="55">
        <f>0.1*'Exhibit 10'!H5</f>
        <v>517.1</v>
      </c>
      <c r="H5" s="55">
        <v>2383</v>
      </c>
      <c r="I5" s="55">
        <f>C5+H5-G5</f>
        <v>27911.9</v>
      </c>
      <c r="J5" s="199">
        <f t="shared" ref="J5:J10" si="0">I5/F5</f>
        <v>13.367768199233717</v>
      </c>
    </row>
    <row r="6" spans="2:10" x14ac:dyDescent="0.2">
      <c r="B6" s="230" t="s">
        <v>31</v>
      </c>
      <c r="C6" s="49">
        <v>46230</v>
      </c>
      <c r="D6" s="49">
        <v>2850</v>
      </c>
      <c r="E6" s="75">
        <v>16.2</v>
      </c>
      <c r="F6" s="49">
        <v>6105</v>
      </c>
      <c r="G6" s="47">
        <f>0.1*'Exhibit 10'!H6</f>
        <v>954.40000000000009</v>
      </c>
      <c r="H6" s="49">
        <v>10600</v>
      </c>
      <c r="I6" s="47">
        <f t="shared" ref="I6:I10" si="1">C6+H6-G6</f>
        <v>55875.6</v>
      </c>
      <c r="J6" s="200">
        <f t="shared" si="0"/>
        <v>9.1524324324324322</v>
      </c>
    </row>
    <row r="7" spans="2:10" x14ac:dyDescent="0.2">
      <c r="B7" s="230" t="s">
        <v>32</v>
      </c>
      <c r="C7" s="49">
        <v>594</v>
      </c>
      <c r="D7" s="49">
        <v>25</v>
      </c>
      <c r="E7" s="75">
        <v>23.8</v>
      </c>
      <c r="F7" s="49">
        <v>68.849999999999994</v>
      </c>
      <c r="G7" s="47">
        <f>0.1*'Exhibit 10'!H7</f>
        <v>14.200000000000001</v>
      </c>
      <c r="H7" s="49">
        <v>50</v>
      </c>
      <c r="I7" s="47">
        <f t="shared" si="1"/>
        <v>629.79999999999995</v>
      </c>
      <c r="J7" s="200">
        <f t="shared" si="0"/>
        <v>9.1474219317356571</v>
      </c>
    </row>
    <row r="8" spans="2:10" x14ac:dyDescent="0.2">
      <c r="B8" s="230" t="s">
        <v>33</v>
      </c>
      <c r="C8" s="49">
        <v>8144</v>
      </c>
      <c r="D8" s="49">
        <v>480</v>
      </c>
      <c r="E8" s="75">
        <v>17</v>
      </c>
      <c r="F8" s="49">
        <v>1187.28</v>
      </c>
      <c r="G8" s="47">
        <f>0.1*'Exhibit 10'!H8</f>
        <v>142.70000000000002</v>
      </c>
      <c r="H8" s="49">
        <v>1280</v>
      </c>
      <c r="I8" s="47">
        <f t="shared" si="1"/>
        <v>9281.2999999999993</v>
      </c>
      <c r="J8" s="200">
        <f t="shared" si="0"/>
        <v>7.8172798328953572</v>
      </c>
    </row>
    <row r="9" spans="2:10" x14ac:dyDescent="0.2">
      <c r="B9" s="230" t="s">
        <v>34</v>
      </c>
      <c r="C9" s="49">
        <v>1368</v>
      </c>
      <c r="D9" s="49">
        <v>55</v>
      </c>
      <c r="E9" s="75">
        <v>24.9</v>
      </c>
      <c r="F9" s="49">
        <v>98.6</v>
      </c>
      <c r="G9" s="47">
        <f>0.1*'Exhibit 10'!H9</f>
        <v>23.3</v>
      </c>
      <c r="H9" s="49">
        <v>0</v>
      </c>
      <c r="I9" s="47">
        <f t="shared" si="1"/>
        <v>1344.7</v>
      </c>
      <c r="J9" s="200">
        <f t="shared" si="0"/>
        <v>13.63793103448276</v>
      </c>
    </row>
    <row r="10" spans="2:10" ht="17" thickBot="1" x14ac:dyDescent="0.25">
      <c r="B10" s="231" t="s">
        <v>36</v>
      </c>
      <c r="C10" s="51">
        <v>17761</v>
      </c>
      <c r="D10" s="198">
        <v>1144</v>
      </c>
      <c r="E10" s="76">
        <v>15.5</v>
      </c>
      <c r="F10" s="198">
        <v>2421.12</v>
      </c>
      <c r="G10" s="198">
        <f>0.1*'Exhibit 10'!H11</f>
        <v>384.40000000000003</v>
      </c>
      <c r="H10" s="225">
        <v>3599</v>
      </c>
      <c r="I10" s="227">
        <f t="shared" si="1"/>
        <v>20975.599999999999</v>
      </c>
      <c r="J10" s="201">
        <f t="shared" si="0"/>
        <v>8.6635937086968013</v>
      </c>
    </row>
    <row r="11" spans="2:10" ht="17" thickBot="1" x14ac:dyDescent="0.25">
      <c r="I11" s="226"/>
    </row>
    <row r="12" spans="2:10" ht="17" thickBot="1" x14ac:dyDescent="0.25">
      <c r="B12" s="250" t="s">
        <v>183</v>
      </c>
      <c r="C12" s="202"/>
      <c r="D12" s="202"/>
      <c r="E12" s="251">
        <f>AVERAGE(E5:E10)</f>
        <v>19</v>
      </c>
      <c r="F12" s="202"/>
      <c r="G12" s="202"/>
      <c r="H12" s="202"/>
      <c r="I12" s="202"/>
      <c r="J12" s="249">
        <f>AVERAGE(J5:J10)</f>
        <v>10.297737856579454</v>
      </c>
    </row>
    <row r="14" spans="2:10" ht="17" thickBot="1" x14ac:dyDescent="0.25"/>
    <row r="15" spans="2:10" ht="17" thickBot="1" x14ac:dyDescent="0.25">
      <c r="C15" s="401" t="s">
        <v>184</v>
      </c>
      <c r="D15" s="402"/>
      <c r="E15" s="403"/>
      <c r="G15" s="401" t="s">
        <v>185</v>
      </c>
      <c r="H15" s="402"/>
      <c r="I15" s="403"/>
    </row>
    <row r="16" spans="2:10" x14ac:dyDescent="0.2">
      <c r="C16" s="404" t="s">
        <v>186</v>
      </c>
      <c r="D16" s="405"/>
      <c r="E16" s="252">
        <f>J12</f>
        <v>10.297737856579454</v>
      </c>
      <c r="G16" s="404" t="s">
        <v>186</v>
      </c>
      <c r="H16" s="405"/>
      <c r="I16" s="254">
        <f>E12</f>
        <v>19</v>
      </c>
    </row>
    <row r="17" spans="3:9" ht="17" thickBot="1" x14ac:dyDescent="0.25">
      <c r="C17" s="406" t="s">
        <v>187</v>
      </c>
      <c r="D17" s="407"/>
      <c r="E17" s="253">
        <f>('Exhibit 10'!C20+'Exhibit 10'!G10-'Exhibit 10'!H10*0.1)/'Exhibit 10'!F10</f>
        <v>17.388472843981429</v>
      </c>
      <c r="G17" s="406" t="s">
        <v>187</v>
      </c>
      <c r="H17" s="407"/>
      <c r="I17" s="255">
        <f>'Exhibit 10'!F20</f>
        <v>25.2</v>
      </c>
    </row>
    <row r="21" spans="3:9" x14ac:dyDescent="0.2">
      <c r="G21" s="232"/>
    </row>
  </sheetData>
  <mergeCells count="7">
    <mergeCell ref="B2:J2"/>
    <mergeCell ref="G16:H16"/>
    <mergeCell ref="G17:H17"/>
    <mergeCell ref="C15:E15"/>
    <mergeCell ref="C16:D16"/>
    <mergeCell ref="C17:D17"/>
    <mergeCell ref="G15:I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B9E1A-39CA-4DD2-99DD-6715974DCFE3}">
  <dimension ref="B1:M36"/>
  <sheetViews>
    <sheetView showGridLines="0" workbookViewId="0"/>
  </sheetViews>
  <sheetFormatPr baseColWidth="10" defaultRowHeight="16" x14ac:dyDescent="0.2"/>
  <cols>
    <col min="1" max="1" width="2.6640625" customWidth="1"/>
    <col min="2" max="2" width="23.1640625" customWidth="1"/>
    <col min="3" max="9" width="15.6640625" customWidth="1"/>
    <col min="12" max="13" width="15.6640625" customWidth="1"/>
  </cols>
  <sheetData>
    <row r="1" spans="2:13" ht="17" thickBot="1" x14ac:dyDescent="0.25"/>
    <row r="2" spans="2:13" ht="17" thickBot="1" x14ac:dyDescent="0.25">
      <c r="B2" s="408" t="s">
        <v>188</v>
      </c>
      <c r="C2" s="409"/>
      <c r="D2" s="409"/>
      <c r="E2" s="409"/>
      <c r="F2" s="409"/>
      <c r="G2" s="409"/>
      <c r="H2" s="409"/>
      <c r="I2" s="410"/>
      <c r="L2" s="411" t="s">
        <v>189</v>
      </c>
      <c r="M2" s="412"/>
    </row>
    <row r="3" spans="2:13" x14ac:dyDescent="0.2">
      <c r="D3" s="122"/>
      <c r="L3" s="288" t="s">
        <v>190</v>
      </c>
      <c r="M3" s="290">
        <v>0.04</v>
      </c>
    </row>
    <row r="4" spans="2:13" x14ac:dyDescent="0.2">
      <c r="B4" s="257" t="s">
        <v>52</v>
      </c>
      <c r="C4" s="257">
        <v>2006</v>
      </c>
      <c r="D4" s="258">
        <v>2007</v>
      </c>
      <c r="E4" s="259" t="s">
        <v>53</v>
      </c>
      <c r="F4" s="259" t="s">
        <v>54</v>
      </c>
      <c r="G4" s="259" t="s">
        <v>55</v>
      </c>
      <c r="H4" s="259" t="s">
        <v>56</v>
      </c>
      <c r="I4" s="259" t="s">
        <v>57</v>
      </c>
      <c r="L4" s="288" t="s">
        <v>191</v>
      </c>
      <c r="M4" s="290">
        <v>0.05</v>
      </c>
    </row>
    <row r="5" spans="2:13" x14ac:dyDescent="0.2">
      <c r="B5" s="75" t="s">
        <v>58</v>
      </c>
      <c r="C5" s="49">
        <v>416</v>
      </c>
      <c r="D5" s="34">
        <v>288</v>
      </c>
      <c r="E5" s="45">
        <v>293</v>
      </c>
      <c r="F5" s="49">
        <v>303</v>
      </c>
      <c r="G5" s="49">
        <v>312</v>
      </c>
      <c r="H5" s="49">
        <v>322</v>
      </c>
      <c r="I5" s="14">
        <v>331</v>
      </c>
      <c r="L5" s="288" t="s">
        <v>192</v>
      </c>
      <c r="M5" s="290">
        <v>0.09</v>
      </c>
    </row>
    <row r="6" spans="2:13" x14ac:dyDescent="0.2">
      <c r="B6" s="59" t="s">
        <v>59</v>
      </c>
      <c r="C6" s="59">
        <v>1.5948</v>
      </c>
      <c r="D6" s="35">
        <v>2.6387</v>
      </c>
      <c r="E6" s="58">
        <v>2.9266000000000001</v>
      </c>
      <c r="F6" s="59">
        <v>3.0203000000000002</v>
      </c>
      <c r="G6" s="59">
        <v>3.1008</v>
      </c>
      <c r="H6" s="59">
        <v>3.1791999999999998</v>
      </c>
      <c r="I6" s="28">
        <v>3.2717000000000001</v>
      </c>
      <c r="L6" s="288" t="s">
        <v>193</v>
      </c>
      <c r="M6" s="289" t="s">
        <v>193</v>
      </c>
    </row>
    <row r="7" spans="2:13" ht="17" thickBot="1" x14ac:dyDescent="0.25">
      <c r="B7" s="18"/>
      <c r="C7" s="18"/>
      <c r="D7" s="36"/>
      <c r="E7" s="18"/>
      <c r="F7" s="18"/>
      <c r="G7" s="18"/>
      <c r="H7" s="18"/>
      <c r="I7" s="18"/>
      <c r="L7" s="288" t="s">
        <v>93</v>
      </c>
      <c r="M7" s="290">
        <v>0.15</v>
      </c>
    </row>
    <row r="8" spans="2:13" ht="17" thickBot="1" x14ac:dyDescent="0.25">
      <c r="B8" s="260" t="s">
        <v>62</v>
      </c>
      <c r="C8" s="261"/>
      <c r="D8" s="262"/>
      <c r="E8" s="261"/>
      <c r="F8" s="261"/>
      <c r="G8" s="261"/>
      <c r="H8" s="261"/>
      <c r="I8" s="261"/>
      <c r="L8" s="291" t="s">
        <v>194</v>
      </c>
      <c r="M8" s="292">
        <v>50</v>
      </c>
    </row>
    <row r="9" spans="2:13" x14ac:dyDescent="0.2">
      <c r="B9" s="96" t="s">
        <v>64</v>
      </c>
      <c r="C9" s="48">
        <v>1822</v>
      </c>
      <c r="D9" s="38">
        <v>1823</v>
      </c>
      <c r="E9" s="44">
        <v>2011</v>
      </c>
      <c r="F9" s="46">
        <v>2096</v>
      </c>
      <c r="G9" s="46">
        <v>2183</v>
      </c>
      <c r="H9" s="46">
        <v>2265</v>
      </c>
      <c r="I9" s="27">
        <v>2353</v>
      </c>
    </row>
    <row r="10" spans="2:13" x14ac:dyDescent="0.2">
      <c r="B10" s="82" t="s">
        <v>66</v>
      </c>
      <c r="C10" s="49">
        <v>2153</v>
      </c>
      <c r="D10" s="34">
        <v>2726</v>
      </c>
      <c r="E10" s="45">
        <v>3080</v>
      </c>
      <c r="F10" s="47">
        <v>3472</v>
      </c>
      <c r="G10" s="47">
        <v>3882</v>
      </c>
      <c r="H10" s="47">
        <v>4357</v>
      </c>
      <c r="I10" s="14">
        <v>4879</v>
      </c>
    </row>
    <row r="11" spans="2:13" x14ac:dyDescent="0.2">
      <c r="B11" s="293" t="s">
        <v>195</v>
      </c>
      <c r="C11" s="294">
        <v>0</v>
      </c>
      <c r="D11" s="295">
        <v>0</v>
      </c>
      <c r="E11" s="296">
        <f>E10*(1+$M$3)</f>
        <v>3203.2000000000003</v>
      </c>
      <c r="F11" s="297">
        <f>F10*(1+$M$3)</f>
        <v>3610.88</v>
      </c>
      <c r="G11" s="297">
        <f>G10*(1+$M$3)</f>
        <v>4037.28</v>
      </c>
      <c r="H11" s="297">
        <f>H10*(1+$M$3)</f>
        <v>4531.28</v>
      </c>
      <c r="I11" s="298">
        <f>I10*(1+$M$3)</f>
        <v>5074.16</v>
      </c>
    </row>
    <row r="12" spans="2:13" x14ac:dyDescent="0.2">
      <c r="B12" s="82" t="s">
        <v>68</v>
      </c>
      <c r="C12" s="49">
        <v>648</v>
      </c>
      <c r="D12" s="34">
        <v>777</v>
      </c>
      <c r="E12" s="45">
        <v>876</v>
      </c>
      <c r="F12" s="47">
        <v>965</v>
      </c>
      <c r="G12" s="47">
        <v>1061</v>
      </c>
      <c r="H12" s="47">
        <v>1168</v>
      </c>
      <c r="I12" s="14">
        <v>1287</v>
      </c>
    </row>
    <row r="13" spans="2:13" x14ac:dyDescent="0.2">
      <c r="B13" s="293" t="s">
        <v>196</v>
      </c>
      <c r="C13" s="294">
        <v>0</v>
      </c>
      <c r="D13" s="295">
        <v>0</v>
      </c>
      <c r="E13" s="296">
        <f>E12*(1+$M$4)</f>
        <v>919.80000000000007</v>
      </c>
      <c r="F13" s="297">
        <f>F12*(1+$M$4)</f>
        <v>1013.25</v>
      </c>
      <c r="G13" s="297">
        <f>G12*(1+$M$4)</f>
        <v>1114.05</v>
      </c>
      <c r="H13" s="297">
        <f>H12*(1+$M$4)</f>
        <v>1226.4000000000001</v>
      </c>
      <c r="I13" s="298">
        <f>I12*(1+$M$4)</f>
        <v>1351.3500000000001</v>
      </c>
    </row>
    <row r="14" spans="2:13" x14ac:dyDescent="0.2">
      <c r="B14" s="82" t="s">
        <v>71</v>
      </c>
      <c r="C14" s="49">
        <v>63</v>
      </c>
      <c r="D14" s="34">
        <v>63</v>
      </c>
      <c r="E14" s="45">
        <v>72</v>
      </c>
      <c r="F14" s="47">
        <v>79</v>
      </c>
      <c r="G14" s="47">
        <v>90</v>
      </c>
      <c r="H14" s="47">
        <v>103</v>
      </c>
      <c r="I14" s="26">
        <v>117</v>
      </c>
    </row>
    <row r="15" spans="2:13" ht="17" thickBot="1" x14ac:dyDescent="0.25">
      <c r="B15" s="263" t="s">
        <v>2</v>
      </c>
      <c r="C15" s="264">
        <v>4686</v>
      </c>
      <c r="D15" s="265">
        <v>5389</v>
      </c>
      <c r="E15" s="266">
        <f>E9+E11+E13+E14</f>
        <v>6206.0000000000009</v>
      </c>
      <c r="F15" s="267">
        <f>F9+F11+F13+F14</f>
        <v>6799.13</v>
      </c>
      <c r="G15" s="267">
        <f>G9+G11+G13+G14</f>
        <v>7424.3300000000008</v>
      </c>
      <c r="H15" s="267">
        <f>H9+H11+H13+H14</f>
        <v>8125.68</v>
      </c>
      <c r="I15" s="268">
        <f>I9+I11+I13+I14</f>
        <v>8895.51</v>
      </c>
    </row>
    <row r="16" spans="2:13" ht="17" thickTop="1" x14ac:dyDescent="0.2">
      <c r="B16" s="269" t="s">
        <v>74</v>
      </c>
      <c r="C16" s="100"/>
      <c r="D16" s="39"/>
    </row>
    <row r="17" spans="2:9" x14ac:dyDescent="0.2">
      <c r="B17" s="96" t="s">
        <v>76</v>
      </c>
      <c r="C17" s="48">
        <v>0</v>
      </c>
      <c r="D17" s="38">
        <v>761</v>
      </c>
      <c r="E17" s="44">
        <v>857</v>
      </c>
      <c r="F17" s="48">
        <v>915</v>
      </c>
      <c r="G17" s="48">
        <v>967</v>
      </c>
      <c r="H17" s="48">
        <v>1024</v>
      </c>
      <c r="I17" s="27">
        <v>1083</v>
      </c>
    </row>
    <row r="18" spans="2:9" x14ac:dyDescent="0.2">
      <c r="B18" s="82" t="s">
        <v>78</v>
      </c>
      <c r="C18" s="49">
        <v>0</v>
      </c>
      <c r="D18" s="34">
        <v>1775</v>
      </c>
      <c r="E18" s="45">
        <v>2047</v>
      </c>
      <c r="F18" s="49">
        <v>2278</v>
      </c>
      <c r="G18" s="49">
        <v>2515</v>
      </c>
      <c r="H18" s="49">
        <v>2795</v>
      </c>
      <c r="I18" s="14">
        <v>3098</v>
      </c>
    </row>
    <row r="19" spans="2:9" x14ac:dyDescent="0.2">
      <c r="B19" s="97" t="s">
        <v>80</v>
      </c>
      <c r="C19" s="48">
        <v>0</v>
      </c>
      <c r="D19" s="38">
        <v>2535</v>
      </c>
      <c r="E19" s="44">
        <v>2904</v>
      </c>
      <c r="F19" s="48">
        <v>3193</v>
      </c>
      <c r="G19" s="48">
        <v>3483</v>
      </c>
      <c r="H19" s="48">
        <v>3818</v>
      </c>
      <c r="I19" s="27">
        <v>4181</v>
      </c>
    </row>
    <row r="20" spans="2:9" ht="17" thickBot="1" x14ac:dyDescent="0.25">
      <c r="B20" s="76" t="s">
        <v>83</v>
      </c>
      <c r="C20" s="51">
        <v>0</v>
      </c>
      <c r="D20" s="40">
        <v>1891</v>
      </c>
      <c r="E20" s="50">
        <v>2114</v>
      </c>
      <c r="F20" s="51">
        <v>2315</v>
      </c>
      <c r="G20" s="51">
        <v>2525</v>
      </c>
      <c r="H20" s="51">
        <v>2755</v>
      </c>
      <c r="I20" s="19">
        <v>3005</v>
      </c>
    </row>
    <row r="21" spans="2:9" ht="17" thickBot="1" x14ac:dyDescent="0.25">
      <c r="B21" s="299" t="s">
        <v>197</v>
      </c>
      <c r="C21" s="300">
        <v>0</v>
      </c>
      <c r="D21" s="301">
        <f>D20</f>
        <v>1891</v>
      </c>
      <c r="E21" s="302">
        <f>E20*(1-$M$5)</f>
        <v>1923.74</v>
      </c>
      <c r="F21" s="300">
        <f>F20*(1-$M$5)</f>
        <v>2106.65</v>
      </c>
      <c r="G21" s="300">
        <f>G20*(1-$M$5)</f>
        <v>2297.75</v>
      </c>
      <c r="H21" s="300">
        <f>H20*(1-$M$5)</f>
        <v>2507.0500000000002</v>
      </c>
      <c r="I21" s="303">
        <f>I20*(1-$M$5)</f>
        <v>2734.55</v>
      </c>
    </row>
    <row r="22" spans="2:9" x14ac:dyDescent="0.2">
      <c r="B22" s="59" t="s">
        <v>85</v>
      </c>
      <c r="C22" s="125">
        <v>0</v>
      </c>
      <c r="D22" s="126">
        <v>963</v>
      </c>
      <c r="E22" s="127">
        <f>E15-E19-E21</f>
        <v>1378.2600000000009</v>
      </c>
      <c r="F22" s="125">
        <f>F15-F19-F21</f>
        <v>1499.48</v>
      </c>
      <c r="G22" s="125">
        <f>G15-G19-G21</f>
        <v>1643.5800000000008</v>
      </c>
      <c r="H22" s="125">
        <f>H15-H19-H21</f>
        <v>1800.63</v>
      </c>
      <c r="I22" s="128">
        <f>I15-I19-I21</f>
        <v>1979.96</v>
      </c>
    </row>
    <row r="23" spans="2:9" ht="17" thickBot="1" x14ac:dyDescent="0.25">
      <c r="B23" s="270" t="s">
        <v>86</v>
      </c>
      <c r="C23" s="264">
        <v>0</v>
      </c>
      <c r="D23" s="265">
        <v>655</v>
      </c>
      <c r="E23" s="266">
        <f>E22*(1-$C$36)</f>
        <v>937.21680000000049</v>
      </c>
      <c r="F23" s="264">
        <f>F22*(1-$C$36)</f>
        <v>1019.6464</v>
      </c>
      <c r="G23" s="264">
        <f>G22*(1-$C$36)</f>
        <v>1117.6344000000004</v>
      </c>
      <c r="H23" s="264">
        <f>H22*(1-$C$36)</f>
        <v>1224.4284</v>
      </c>
      <c r="I23" s="268">
        <f>I22*(1-$C$36)</f>
        <v>1346.3727999999999</v>
      </c>
    </row>
    <row r="24" spans="2:9" ht="17" thickTop="1" x14ac:dyDescent="0.2">
      <c r="B24" s="82" t="s">
        <v>87</v>
      </c>
      <c r="C24" s="49">
        <v>0</v>
      </c>
      <c r="D24" s="34">
        <v>51</v>
      </c>
      <c r="E24" s="45">
        <v>193</v>
      </c>
      <c r="F24" s="49">
        <v>156</v>
      </c>
      <c r="G24" s="49">
        <v>158</v>
      </c>
      <c r="H24" s="49">
        <v>163</v>
      </c>
      <c r="I24" s="14">
        <v>160</v>
      </c>
    </row>
    <row r="25" spans="2:9" x14ac:dyDescent="0.2">
      <c r="B25" s="82" t="s">
        <v>88</v>
      </c>
      <c r="C25" s="49">
        <v>0</v>
      </c>
      <c r="D25" s="34">
        <v>189</v>
      </c>
      <c r="E25" s="45">
        <v>325</v>
      </c>
      <c r="F25" s="49">
        <v>340</v>
      </c>
      <c r="G25" s="49">
        <v>356</v>
      </c>
      <c r="H25" s="49">
        <v>373</v>
      </c>
      <c r="I25" s="14">
        <v>390</v>
      </c>
    </row>
    <row r="26" spans="2:9" x14ac:dyDescent="0.2">
      <c r="B26" s="82" t="s">
        <v>89</v>
      </c>
      <c r="C26" s="49">
        <v>0</v>
      </c>
      <c r="D26" s="34">
        <v>-5</v>
      </c>
      <c r="E26" s="45">
        <v>134</v>
      </c>
      <c r="F26" s="49">
        <v>-41</v>
      </c>
      <c r="G26" s="49">
        <v>40</v>
      </c>
      <c r="H26" s="49">
        <v>50</v>
      </c>
      <c r="I26" s="14">
        <v>30</v>
      </c>
    </row>
    <row r="27" spans="2:9" x14ac:dyDescent="0.2">
      <c r="B27" s="293" t="s">
        <v>198</v>
      </c>
      <c r="C27" s="294">
        <v>0</v>
      </c>
      <c r="D27" s="295">
        <v>0</v>
      </c>
      <c r="E27" s="296">
        <f>E26*(1-$M$7)</f>
        <v>113.89999999999999</v>
      </c>
      <c r="F27" s="294">
        <v>0</v>
      </c>
      <c r="G27" s="294">
        <v>0</v>
      </c>
      <c r="H27" s="294">
        <v>0</v>
      </c>
      <c r="I27" s="298">
        <v>0</v>
      </c>
    </row>
    <row r="28" spans="2:9" ht="17" thickBot="1" x14ac:dyDescent="0.25">
      <c r="B28" s="304" t="s">
        <v>199</v>
      </c>
      <c r="C28" s="305">
        <v>0</v>
      </c>
      <c r="D28" s="306">
        <v>0</v>
      </c>
      <c r="E28" s="307">
        <f>M8</f>
        <v>50</v>
      </c>
      <c r="F28" s="305">
        <v>0</v>
      </c>
      <c r="G28" s="305">
        <v>0</v>
      </c>
      <c r="H28" s="305">
        <v>0</v>
      </c>
      <c r="I28" s="308">
        <v>0</v>
      </c>
    </row>
    <row r="29" spans="2:9" ht="17" thickBot="1" x14ac:dyDescent="0.25">
      <c r="B29" s="271" t="s">
        <v>90</v>
      </c>
      <c r="C29" s="272">
        <v>0</v>
      </c>
      <c r="D29" s="273">
        <v>0</v>
      </c>
      <c r="E29" s="274">
        <f>E23+E24-E25-E27+E28</f>
        <v>741.31680000000063</v>
      </c>
      <c r="F29" s="272">
        <f>F23+F24-F25-F26</f>
        <v>876.64640000000009</v>
      </c>
      <c r="G29" s="272">
        <f>G23+G24-G25-G26</f>
        <v>879.63440000000037</v>
      </c>
      <c r="H29" s="272">
        <f>H23+H24-H25-H26</f>
        <v>964.42840000000001</v>
      </c>
      <c r="I29" s="275">
        <f>I23+I24-I25-I26</f>
        <v>1086.3727999999999</v>
      </c>
    </row>
    <row r="30" spans="2:9" ht="17" thickBot="1" x14ac:dyDescent="0.25">
      <c r="B30" s="32"/>
      <c r="C30" s="32"/>
      <c r="D30" s="41"/>
      <c r="E30" s="32"/>
      <c r="F30" s="32"/>
      <c r="G30" s="32"/>
      <c r="H30" s="32"/>
      <c r="I30" s="32"/>
    </row>
    <row r="31" spans="2:9" x14ac:dyDescent="0.2">
      <c r="B31" s="74" t="s">
        <v>91</v>
      </c>
      <c r="C31" s="55">
        <v>1423</v>
      </c>
      <c r="D31" s="34">
        <v>1560</v>
      </c>
      <c r="E31" s="52">
        <v>1692</v>
      </c>
      <c r="F31" s="55">
        <v>1876</v>
      </c>
      <c r="G31" s="55">
        <v>2074</v>
      </c>
      <c r="H31" s="55">
        <v>2284</v>
      </c>
      <c r="I31" s="118">
        <v>2513</v>
      </c>
    </row>
    <row r="32" spans="2:9" x14ac:dyDescent="0.2">
      <c r="B32" s="276" t="s">
        <v>92</v>
      </c>
      <c r="C32" s="277">
        <v>0.30399999999999999</v>
      </c>
      <c r="D32" s="278">
        <v>0.28899999999999998</v>
      </c>
      <c r="E32" s="279">
        <f>E31/E15</f>
        <v>0.27263938124395742</v>
      </c>
      <c r="F32" s="277">
        <f>F31/F15</f>
        <v>0.27591765417046005</v>
      </c>
      <c r="G32" s="277">
        <f>G31/G15</f>
        <v>0.27935180682970717</v>
      </c>
      <c r="H32" s="277">
        <f>H31/H15</f>
        <v>0.28108416772503964</v>
      </c>
      <c r="I32" s="280">
        <f>I31/I15</f>
        <v>0.28250207126966298</v>
      </c>
    </row>
    <row r="33" spans="2:9" x14ac:dyDescent="0.2">
      <c r="B33" s="97" t="s">
        <v>93</v>
      </c>
      <c r="C33" s="48">
        <v>454.1</v>
      </c>
      <c r="D33" s="38">
        <v>448.66</v>
      </c>
      <c r="E33" s="44">
        <v>563</v>
      </c>
      <c r="F33" s="48">
        <v>522</v>
      </c>
      <c r="G33" s="48">
        <v>562</v>
      </c>
      <c r="H33" s="48">
        <v>612</v>
      </c>
      <c r="I33" s="27">
        <v>642</v>
      </c>
    </row>
    <row r="34" spans="2:9" ht="17" thickBot="1" x14ac:dyDescent="0.25">
      <c r="B34" s="281" t="s">
        <v>92</v>
      </c>
      <c r="C34" s="282">
        <v>9.7000000000000003E-2</v>
      </c>
      <c r="D34" s="283">
        <v>8.3000000000000004E-2</v>
      </c>
      <c r="E34" s="284">
        <f>E33/E15</f>
        <v>9.0718659361907816E-2</v>
      </c>
      <c r="F34" s="282">
        <f>F33/F15</f>
        <v>7.6774528505852951E-2</v>
      </c>
      <c r="G34" s="282">
        <f>G33/G15</f>
        <v>7.5697066267259125E-2</v>
      </c>
      <c r="H34" s="282">
        <f>H33/H15</f>
        <v>7.5316773488495734E-2</v>
      </c>
      <c r="I34" s="285">
        <f>I33/I15</f>
        <v>7.217124144652752E-2</v>
      </c>
    </row>
    <row r="35" spans="2:9" ht="17" thickBot="1" x14ac:dyDescent="0.25">
      <c r="C35" s="13"/>
      <c r="D35" s="121"/>
      <c r="E35" s="13"/>
      <c r="F35" s="13"/>
      <c r="G35" s="13"/>
      <c r="H35" s="13"/>
      <c r="I35" s="13"/>
    </row>
    <row r="36" spans="2:9" ht="17" thickBot="1" x14ac:dyDescent="0.25">
      <c r="B36" s="286" t="s">
        <v>94</v>
      </c>
      <c r="C36" s="287">
        <v>0.32</v>
      </c>
    </row>
  </sheetData>
  <mergeCells count="2">
    <mergeCell ref="B2:I2"/>
    <mergeCell ref="L2:M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1CF8E-D48D-4F8E-8E77-28EF9604BFF0}">
  <dimension ref="B1:N29"/>
  <sheetViews>
    <sheetView showGridLines="0" workbookViewId="0"/>
  </sheetViews>
  <sheetFormatPr baseColWidth="10" defaultRowHeight="16" x14ac:dyDescent="0.2"/>
  <cols>
    <col min="1" max="1" width="2.6640625" customWidth="1"/>
    <col min="2" max="2" width="27.33203125" customWidth="1"/>
    <col min="3" max="3" width="25.6640625" customWidth="1"/>
    <col min="5" max="5" width="26.1640625" customWidth="1"/>
    <col min="6" max="10" width="15.6640625" customWidth="1"/>
    <col min="11" max="11" width="19.83203125" customWidth="1"/>
  </cols>
  <sheetData>
    <row r="1" spans="2:11" ht="17" thickBot="1" x14ac:dyDescent="0.25"/>
    <row r="2" spans="2:11" ht="23" thickBot="1" x14ac:dyDescent="0.25">
      <c r="B2" s="413" t="s">
        <v>95</v>
      </c>
      <c r="C2" s="413"/>
      <c r="E2" s="413" t="s">
        <v>96</v>
      </c>
      <c r="F2" s="413"/>
      <c r="G2" s="413"/>
      <c r="H2" s="413"/>
      <c r="I2" s="413"/>
      <c r="J2" s="413"/>
      <c r="K2" s="413"/>
    </row>
    <row r="3" spans="2:11" ht="23" thickBot="1" x14ac:dyDescent="0.35">
      <c r="B3" s="309" t="s">
        <v>44</v>
      </c>
      <c r="C3" s="310">
        <v>0.7</v>
      </c>
      <c r="E3" s="322" t="s">
        <v>97</v>
      </c>
      <c r="F3" s="323">
        <v>1</v>
      </c>
      <c r="G3" s="323">
        <v>2</v>
      </c>
      <c r="H3" s="324">
        <v>3</v>
      </c>
      <c r="I3" s="325">
        <v>4</v>
      </c>
      <c r="J3" s="324">
        <v>5</v>
      </c>
      <c r="K3" s="325" t="s">
        <v>200</v>
      </c>
    </row>
    <row r="4" spans="2:11" ht="22" x14ac:dyDescent="0.3">
      <c r="B4" s="311" t="s">
        <v>99</v>
      </c>
      <c r="C4" s="312">
        <v>7.8799999999999995E-2</v>
      </c>
      <c r="E4" s="326" t="s">
        <v>100</v>
      </c>
      <c r="F4" s="326">
        <v>2008</v>
      </c>
      <c r="G4" s="326">
        <v>2009</v>
      </c>
      <c r="H4" s="326">
        <v>2010</v>
      </c>
      <c r="I4" s="326">
        <v>2011</v>
      </c>
      <c r="J4" s="326">
        <v>2012</v>
      </c>
      <c r="K4" s="326" t="s">
        <v>101</v>
      </c>
    </row>
    <row r="5" spans="2:11" ht="22" x14ac:dyDescent="0.3">
      <c r="B5" s="311" t="s">
        <v>102</v>
      </c>
      <c r="C5" s="313">
        <v>0.940824900881709</v>
      </c>
      <c r="E5" s="327" t="s">
        <v>103</v>
      </c>
      <c r="F5" s="328">
        <f>'Synergy Forecast'!E29</f>
        <v>741.31680000000063</v>
      </c>
      <c r="G5" s="328">
        <f>'Synergy Forecast'!F29</f>
        <v>876.64640000000009</v>
      </c>
      <c r="H5" s="328">
        <f>'Synergy Forecast'!G29</f>
        <v>879.63440000000037</v>
      </c>
      <c r="I5" s="328">
        <f>'Synergy Forecast'!H29</f>
        <v>964.42840000000001</v>
      </c>
      <c r="J5" s="328">
        <f>'Synergy Forecast'!I29</f>
        <v>1086.3727999999999</v>
      </c>
      <c r="K5" s="329">
        <f>J5*(1+C11)/(C12-C11)</f>
        <v>55495.653850329152</v>
      </c>
    </row>
    <row r="6" spans="2:11" ht="22" x14ac:dyDescent="0.3">
      <c r="B6" s="314" t="s">
        <v>105</v>
      </c>
      <c r="C6" s="315">
        <v>6.3E-2</v>
      </c>
      <c r="E6" s="330" t="s">
        <v>106</v>
      </c>
      <c r="F6" s="331">
        <f>1/(1+$C$12)^F3</f>
        <v>0.92878791412954242</v>
      </c>
      <c r="G6" s="331">
        <f>1/(1+$C$12)^G3</f>
        <v>0.86264698943310614</v>
      </c>
      <c r="H6" s="331">
        <f>1/(1+$C$12)^H3</f>
        <v>0.80121609794570403</v>
      </c>
      <c r="I6" s="331">
        <f>1/(1+$C$12)^I3</f>
        <v>0.74415982837800154</v>
      </c>
      <c r="J6" s="331">
        <f>1/(1+$C$12)^J3</f>
        <v>0.69116665477820238</v>
      </c>
      <c r="K6" s="332">
        <f>J6</f>
        <v>0.69116665477820238</v>
      </c>
    </row>
    <row r="7" spans="2:11" ht="23" thickBot="1" x14ac:dyDescent="0.35">
      <c r="B7" s="316" t="s">
        <v>111</v>
      </c>
      <c r="C7" s="317">
        <v>5.9175099118290997E-2</v>
      </c>
      <c r="E7" s="333" t="s">
        <v>112</v>
      </c>
      <c r="F7" s="334">
        <f t="shared" ref="F7:K7" si="0">F5*F6</f>
        <v>688.52608438118773</v>
      </c>
      <c r="G7" s="335">
        <f t="shared" si="0"/>
        <v>756.23637775737063</v>
      </c>
      <c r="H7" s="335">
        <f t="shared" si="0"/>
        <v>704.77724158681087</v>
      </c>
      <c r="I7" s="335">
        <f t="shared" si="0"/>
        <v>717.68887262687065</v>
      </c>
      <c r="J7" s="335">
        <f t="shared" si="0"/>
        <v>750.864654018029</v>
      </c>
      <c r="K7" s="336">
        <f t="shared" si="0"/>
        <v>38356.745426461064</v>
      </c>
    </row>
    <row r="8" spans="2:11" ht="22" x14ac:dyDescent="0.3">
      <c r="B8" s="311" t="s">
        <v>116</v>
      </c>
      <c r="C8" s="312">
        <v>3.6799999999999999E-2</v>
      </c>
    </row>
    <row r="9" spans="2:11" ht="23" thickBot="1" x14ac:dyDescent="0.35">
      <c r="B9" s="316" t="s">
        <v>81</v>
      </c>
      <c r="C9" s="318">
        <v>0.06</v>
      </c>
    </row>
    <row r="10" spans="2:11" ht="23" thickBot="1" x14ac:dyDescent="0.35">
      <c r="B10" s="311" t="s">
        <v>46</v>
      </c>
      <c r="C10" s="319">
        <v>0.32</v>
      </c>
      <c r="E10" s="415" t="s">
        <v>147</v>
      </c>
      <c r="F10" s="416"/>
    </row>
    <row r="11" spans="2:11" ht="21.75" customHeight="1" thickBot="1" x14ac:dyDescent="0.35">
      <c r="B11" s="311" t="s">
        <v>126</v>
      </c>
      <c r="C11" s="312">
        <v>5.6000000000000001E-2</v>
      </c>
      <c r="E11" s="337" t="s">
        <v>152</v>
      </c>
      <c r="F11" s="338">
        <f>SUM(F7:K7)</f>
        <v>41974.838656831336</v>
      </c>
    </row>
    <row r="12" spans="2:11" ht="24" customHeight="1" thickBot="1" x14ac:dyDescent="0.35">
      <c r="B12" s="320" t="s">
        <v>130</v>
      </c>
      <c r="C12" s="321">
        <v>7.6672063435706247E-2</v>
      </c>
      <c r="E12" s="339" t="s">
        <v>156</v>
      </c>
      <c r="F12" s="340">
        <f>C18</f>
        <v>1000</v>
      </c>
    </row>
    <row r="13" spans="2:11" ht="17" thickTop="1" x14ac:dyDescent="0.2">
      <c r="E13" s="339" t="s">
        <v>159</v>
      </c>
      <c r="F13" s="340">
        <f>C17</f>
        <v>157.9</v>
      </c>
    </row>
    <row r="14" spans="2:11" ht="17" thickBot="1" x14ac:dyDescent="0.25">
      <c r="B14" s="176"/>
      <c r="E14" s="341" t="s">
        <v>161</v>
      </c>
      <c r="F14" s="342">
        <f>F11-F12+F13</f>
        <v>41132.738656831338</v>
      </c>
    </row>
    <row r="15" spans="2:11" ht="23" thickBot="1" x14ac:dyDescent="0.25">
      <c r="B15" s="414" t="s">
        <v>141</v>
      </c>
      <c r="C15" s="413"/>
      <c r="E15" s="339" t="s">
        <v>201</v>
      </c>
      <c r="F15" s="343">
        <f>'Exhibit 10'!D20</f>
        <v>275742319</v>
      </c>
    </row>
    <row r="16" spans="2:11" ht="23" thickBot="1" x14ac:dyDescent="0.35">
      <c r="B16" s="192" t="s">
        <v>146</v>
      </c>
      <c r="C16" s="178">
        <v>1579</v>
      </c>
      <c r="E16" s="344" t="s">
        <v>202</v>
      </c>
      <c r="F16" s="345">
        <f>F14*1000000/F15</f>
        <v>149.17093178153527</v>
      </c>
    </row>
    <row r="17" spans="2:14" ht="46" x14ac:dyDescent="0.3">
      <c r="B17" s="193" t="s">
        <v>151</v>
      </c>
      <c r="C17" s="194">
        <v>157.9</v>
      </c>
    </row>
    <row r="18" spans="2:14" ht="23" thickBot="1" x14ac:dyDescent="0.35">
      <c r="B18" s="195" t="s">
        <v>15</v>
      </c>
      <c r="C18" s="196">
        <v>1000</v>
      </c>
    </row>
    <row r="19" spans="2:14" ht="17" thickTop="1" x14ac:dyDescent="0.2"/>
    <row r="20" spans="2:14" ht="17" thickBot="1" x14ac:dyDescent="0.25"/>
    <row r="21" spans="2:14" ht="20" thickBot="1" x14ac:dyDescent="0.25">
      <c r="H21" s="360" t="s">
        <v>131</v>
      </c>
      <c r="I21" s="361"/>
      <c r="J21" s="362"/>
      <c r="K21" s="362"/>
      <c r="L21" s="362"/>
      <c r="M21" s="362"/>
      <c r="N21" s="363"/>
    </row>
    <row r="22" spans="2:14" ht="23" thickBot="1" x14ac:dyDescent="0.35">
      <c r="H22" s="417" t="s">
        <v>135</v>
      </c>
      <c r="I22" s="418"/>
      <c r="J22" s="375" t="s">
        <v>126</v>
      </c>
      <c r="K22" s="375"/>
      <c r="L22" s="375"/>
      <c r="M22" s="419"/>
      <c r="N22" s="420"/>
    </row>
    <row r="23" spans="2:14" ht="20" thickBot="1" x14ac:dyDescent="0.25">
      <c r="H23" s="364">
        <f>F16</f>
        <v>149.17093178153527</v>
      </c>
      <c r="I23" s="365"/>
      <c r="J23" s="206">
        <v>0.03</v>
      </c>
      <c r="K23" s="206">
        <v>0.04</v>
      </c>
      <c r="L23" s="206">
        <v>0.05</v>
      </c>
      <c r="M23" s="209">
        <v>5.6000000000000001E-2</v>
      </c>
      <c r="N23" s="217">
        <v>0.06</v>
      </c>
    </row>
    <row r="24" spans="2:14" x14ac:dyDescent="0.2">
      <c r="H24" s="421" t="s">
        <v>130</v>
      </c>
      <c r="I24" s="237">
        <v>5.5E-2</v>
      </c>
      <c r="J24" s="346">
        <v>135.1</v>
      </c>
      <c r="K24" s="346">
        <v>219.91</v>
      </c>
      <c r="L24" s="346">
        <v>643.95000000000005</v>
      </c>
      <c r="M24" s="347" t="s">
        <v>142</v>
      </c>
      <c r="N24" s="348" t="s">
        <v>142</v>
      </c>
    </row>
    <row r="25" spans="2:14" x14ac:dyDescent="0.2">
      <c r="H25" s="421"/>
      <c r="I25" s="238">
        <v>0.06</v>
      </c>
      <c r="J25" s="346">
        <v>111.78</v>
      </c>
      <c r="K25" s="346">
        <v>163.80000000000001</v>
      </c>
      <c r="L25" s="346">
        <v>319.83</v>
      </c>
      <c r="M25" s="347">
        <v>787.94</v>
      </c>
      <c r="N25" s="348" t="s">
        <v>142</v>
      </c>
    </row>
    <row r="26" spans="2:14" x14ac:dyDescent="0.2">
      <c r="H26" s="421"/>
      <c r="I26" s="237">
        <v>6.5000000000000002E-2</v>
      </c>
      <c r="J26" s="346">
        <v>95.13</v>
      </c>
      <c r="K26" s="346">
        <v>130.13</v>
      </c>
      <c r="L26" s="346">
        <v>211.8</v>
      </c>
      <c r="M26" s="347">
        <v>347.91</v>
      </c>
      <c r="N26" s="348">
        <v>620.13</v>
      </c>
    </row>
    <row r="27" spans="2:14" ht="17" thickBot="1" x14ac:dyDescent="0.25">
      <c r="H27" s="422"/>
      <c r="I27" s="239">
        <v>7.0000000000000007E-2</v>
      </c>
      <c r="J27" s="346">
        <v>82.65</v>
      </c>
      <c r="K27" s="349">
        <v>107.7</v>
      </c>
      <c r="L27" s="346">
        <v>157.79</v>
      </c>
      <c r="M27" s="347">
        <v>222.2</v>
      </c>
      <c r="N27" s="348">
        <v>308.07</v>
      </c>
    </row>
    <row r="28" spans="2:14" ht="17" thickBot="1" x14ac:dyDescent="0.25">
      <c r="H28" s="422"/>
      <c r="I28" s="240">
        <v>7.6700000000000004E-2</v>
      </c>
      <c r="J28" s="350">
        <v>70.12</v>
      </c>
      <c r="K28" s="351">
        <v>87.22</v>
      </c>
      <c r="L28" s="350">
        <v>117.14</v>
      </c>
      <c r="M28" s="352">
        <v>149.16999999999999</v>
      </c>
      <c r="N28" s="353">
        <v>182.89</v>
      </c>
    </row>
    <row r="29" spans="2:14" ht="17" thickBot="1" x14ac:dyDescent="0.25">
      <c r="H29" s="423"/>
      <c r="I29" s="241">
        <v>0.08</v>
      </c>
      <c r="J29" s="354">
        <v>65.180000000000007</v>
      </c>
      <c r="K29" s="354">
        <v>79.66</v>
      </c>
      <c r="L29" s="354">
        <v>103.79</v>
      </c>
      <c r="M29" s="355">
        <v>127.93</v>
      </c>
      <c r="N29" s="356">
        <v>152.06</v>
      </c>
    </row>
  </sheetData>
  <mergeCells count="9">
    <mergeCell ref="H22:I22"/>
    <mergeCell ref="J22:N22"/>
    <mergeCell ref="H23:I23"/>
    <mergeCell ref="H24:H29"/>
    <mergeCell ref="B2:C2"/>
    <mergeCell ref="B15:C15"/>
    <mergeCell ref="E2:K2"/>
    <mergeCell ref="E10:F10"/>
    <mergeCell ref="H21:N2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8eec281-aaa3-4dae-ac9b-9a398b9215e7}" enabled="0" method="" siteId="{a8eec281-aaa3-4dae-ac9b-9a398b9215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9</vt:i4>
      </vt:variant>
    </vt:vector>
  </HeadingPairs>
  <TitlesOfParts>
    <vt:vector size="16" baseType="lpstr">
      <vt:lpstr>Exhibit 9</vt:lpstr>
      <vt:lpstr>Exhibit 10</vt:lpstr>
      <vt:lpstr>Exhibit 11 and 12</vt:lpstr>
      <vt:lpstr>Valuation</vt:lpstr>
      <vt:lpstr>Comps. Multiple Analysis</vt:lpstr>
      <vt:lpstr>Synergy Forecast</vt:lpstr>
      <vt:lpstr>Synergy Valuation</vt:lpstr>
      <vt:lpstr>Cost_of_Debt</vt:lpstr>
      <vt:lpstr>Cost_of_Equity</vt:lpstr>
      <vt:lpstr>Market_Risk_Premium</vt:lpstr>
      <vt:lpstr>Risk_Free_Rate</vt:lpstr>
      <vt:lpstr>Terminal_Growth_Rate</vt:lpstr>
      <vt:lpstr>WACC</vt:lpstr>
      <vt:lpstr>Weight_of_Debt</vt:lpstr>
      <vt:lpstr>Weight_of_Equity</vt:lpstr>
      <vt:lpstr>βeta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Niramay Prashant Lakhani</dc:creator>
  <cp:keywords/>
  <dc:description/>
  <cp:lastModifiedBy>Niramay Prashant Lakhani</cp:lastModifiedBy>
  <cp:revision/>
  <dcterms:created xsi:type="dcterms:W3CDTF">2025-10-21T19:31:56Z</dcterms:created>
  <dcterms:modified xsi:type="dcterms:W3CDTF">2026-10-20T02:35:58Z</dcterms:modified>
  <cp:category/>
  <cp:contentStatus/>
</cp:coreProperties>
</file>